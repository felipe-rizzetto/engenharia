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4" activeTab="6"/>
  </bookViews>
  <sheets>
    <sheet name="Planejamento Físico Bacias" sheetId="1" r:id="rId1"/>
    <sheet name="Bairros" sheetId="6" r:id="rId2"/>
    <sheet name="Planejamento Financeiro" sheetId="8" r:id="rId3"/>
    <sheet name="Serviços e Valores por Bacia" sheetId="5" r:id="rId4"/>
    <sheet name="Serviços por Ano" sheetId="4" r:id="rId5"/>
    <sheet name="Serviços e Investimentos Totais" sheetId="7" r:id="rId6"/>
    <sheet name="Logradouros" sheetId="3" r:id="rId7"/>
    <sheet name="CCs" sheetId="9" r:id="rId8"/>
    <sheet name="OUTUBRO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7" l="1"/>
  <c r="D7" i="7"/>
  <c r="D6" i="7"/>
  <c r="B5" i="7"/>
  <c r="D4" i="7"/>
  <c r="D3" i="7"/>
  <c r="D2" i="7"/>
  <c r="D5" i="7" l="1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F2" i="4" l="1"/>
  <c r="F3" i="4" s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</calcChain>
</file>

<file path=xl/sharedStrings.xml><?xml version="1.0" encoding="utf-8"?>
<sst xmlns="http://schemas.openxmlformats.org/spreadsheetml/2006/main" count="1411" uniqueCount="374">
  <si>
    <t>PRJ</t>
  </si>
  <si>
    <t>Nome do Projeto</t>
  </si>
  <si>
    <t>Descrição do CC</t>
  </si>
  <si>
    <t>Tipo</t>
  </si>
  <si>
    <t>Número</t>
  </si>
  <si>
    <t>EXPLICAÇÃO DO CC</t>
  </si>
  <si>
    <t>AÇÃO A SER TOMADA</t>
  </si>
  <si>
    <t>ID de abertura</t>
  </si>
  <si>
    <t>ID de manutenção</t>
  </si>
  <si>
    <t>PRJ003393</t>
  </si>
  <si>
    <t>Projeto de Universalização de Rede de Esgoto</t>
  </si>
  <si>
    <t>PROJETO UNIVERSALIZACAO REDE ESGOTO</t>
  </si>
  <si>
    <t>OC</t>
  </si>
  <si>
    <t>CC PARA ELABORAÇÃO DE PROJETO PARA O EMPREENDIMENTO DE UNIVERSALIZAÇÃO</t>
  </si>
  <si>
    <t>CCS APROVEITADOS 2025, MANUTENÇÃO NECESSÁRIA</t>
  </si>
  <si>
    <t>x</t>
  </si>
  <si>
    <t>ME</t>
  </si>
  <si>
    <t>EP</t>
  </si>
  <si>
    <t>PRJ004705</t>
  </si>
  <si>
    <t>Universalização Esgoto</t>
  </si>
  <si>
    <t>UNIVERSALIZAÇÃO SANTA BARBARA LNE</t>
  </si>
  <si>
    <t>CC PARA LIGAÇÃO NOVA DE ESGOTO</t>
  </si>
  <si>
    <t>CRIAR CC</t>
  </si>
  <si>
    <t>UNIVERSALIZAÇÃO MACEIÓ LNE</t>
  </si>
  <si>
    <t>UNIVERSALIZAÇÃO LARG.ATALHA / BADU LNE</t>
  </si>
  <si>
    <t>UNIVERSALIZAÇÃO BACIA TOQUE TOQUE LNE</t>
  </si>
  <si>
    <t>UNIVERSALIZAÇÃO ENGENHOCA LNE</t>
  </si>
  <si>
    <t>UNIVERSALIZAÇÃO ENGENHOCA REDE COLETORA</t>
  </si>
  <si>
    <t>CC PARA EXTENSÃO DE REDE DE ESGOTO</t>
  </si>
  <si>
    <t>UNIVERSALIZAÇÃO SANTA BARBARA REDE COLET</t>
  </si>
  <si>
    <t>UNIVERSALIZAÇÃO MACEIÓ REDE COLETORA</t>
  </si>
  <si>
    <t>UNIVERSALIZAÇÃO LARG.BATALHA / BADU REDE</t>
  </si>
  <si>
    <t>UNIVERSALIZAÇÃO BACIA TOQUE TOQUE REDE</t>
  </si>
  <si>
    <t>UNIVERSALIZAÇÃO ENGENHOCA EEEB</t>
  </si>
  <si>
    <t xml:space="preserve">CC PARA EEEB </t>
  </si>
  <si>
    <t>UNIVERSALIZAÇÃO SANTA BARBARA EEEB</t>
  </si>
  <si>
    <t>UNIVERSALIZAÇÃO MACEIÓ EEEB</t>
  </si>
  <si>
    <t>UNIVERSALIZAÇÃO LARG.BATALHA / BADU EEEB</t>
  </si>
  <si>
    <t>UNIVERSALIZACAO TOQUE TOQUE EEEB</t>
  </si>
  <si>
    <t>UNIVERSALIZACAO BACIAS</t>
  </si>
  <si>
    <t>CC PARA PAGAMENTO DE MÃO DE OBRA PRÓPRIA, RETIRADA DE EPI</t>
  </si>
  <si>
    <t>Bacia</t>
  </si>
  <si>
    <t>Equipe</t>
  </si>
  <si>
    <t>Logradouro</t>
  </si>
  <si>
    <t>Status</t>
  </si>
  <si>
    <t>Equipe 1</t>
  </si>
  <si>
    <t>Executado</t>
  </si>
  <si>
    <t>Em andamento</t>
  </si>
  <si>
    <t>A iniciar</t>
  </si>
  <si>
    <t>Equipe 2</t>
  </si>
  <si>
    <t>4. Rua Tenente Matheus Machado</t>
  </si>
  <si>
    <t>5. Rua 13</t>
  </si>
  <si>
    <t>6. Rua 14</t>
  </si>
  <si>
    <t>Maceió</t>
  </si>
  <si>
    <t>1. Estrada Pacheco de Carvalho</t>
  </si>
  <si>
    <t>2. Rua Alberto Lemos</t>
  </si>
  <si>
    <t xml:space="preserve">3. Rua do Colégio </t>
  </si>
  <si>
    <t>4. Estrada Demetrio de Freitas</t>
  </si>
  <si>
    <t>5. Travessa Antônio Pinho</t>
  </si>
  <si>
    <t>6. Rua Ator Jardel Filho</t>
  </si>
  <si>
    <t>7. Rua João Silveira Martins</t>
  </si>
  <si>
    <t>8. Rua Ludovico José da Rosa</t>
  </si>
  <si>
    <t>1. Rua José Bento Vieira Ferreira</t>
  </si>
  <si>
    <t>3. Rua Manoel Loureiro de Freitas</t>
  </si>
  <si>
    <t>4. Rua E</t>
  </si>
  <si>
    <t>5. Rua Adauto Dantas</t>
  </si>
  <si>
    <t>6. Rua Pedro Bernardo de Paula</t>
  </si>
  <si>
    <t xml:space="preserve">7. Rua Fernando Carvalho Machado  </t>
  </si>
  <si>
    <t>8. Rua Armando Ferreira Frazao</t>
  </si>
  <si>
    <t>Equipe 3</t>
  </si>
  <si>
    <t>1. Estrada Nossa Senhora de Lourdes</t>
  </si>
  <si>
    <t>2. Estrada da Viração</t>
  </si>
  <si>
    <t>3. Rua A</t>
  </si>
  <si>
    <t>4. Rua Ludovico José da Rosa</t>
  </si>
  <si>
    <t>5. Travessa B</t>
  </si>
  <si>
    <t>6. Travessa D</t>
  </si>
  <si>
    <t>7. Travessa F</t>
  </si>
  <si>
    <t>8. Travessa C</t>
  </si>
  <si>
    <t>Largo da Batalha / Badu</t>
  </si>
  <si>
    <t>15. Rua São Luiz</t>
  </si>
  <si>
    <t>16. Rua Vereador Otto Bastos</t>
  </si>
  <si>
    <t>19. Rua São Judas Tadeu</t>
  </si>
  <si>
    <t>21. Rua Pedra Branca</t>
  </si>
  <si>
    <t>2. Travessa Rosa</t>
  </si>
  <si>
    <t>3. Travessa do Desvio</t>
  </si>
  <si>
    <t>4. Estrada Alarico de Souza</t>
  </si>
  <si>
    <t>5. Travessa Tereza</t>
  </si>
  <si>
    <t>6. Travessa Pinheiral</t>
  </si>
  <si>
    <t>7. Rua Bela Vista</t>
  </si>
  <si>
    <t>8. Rua Comte. Minervino</t>
  </si>
  <si>
    <t>9. Travessa Trinta de Outubro</t>
  </si>
  <si>
    <t>10. Rua Um</t>
  </si>
  <si>
    <t>11. Rua João Honorato</t>
  </si>
  <si>
    <t>14. Estrada Francisco da Cruz Nunes</t>
  </si>
  <si>
    <t>1. Estrada Alarico de Souza</t>
  </si>
  <si>
    <t>12. Rua Monte Castelo</t>
  </si>
  <si>
    <t>13. Rua Celina Caruso</t>
  </si>
  <si>
    <t>17. Rua Sem Nome</t>
  </si>
  <si>
    <t>18. Rua Sem Nome</t>
  </si>
  <si>
    <t>20. Travessa Leopoldina</t>
  </si>
  <si>
    <t>22. Travessa Olegário Alves</t>
  </si>
  <si>
    <t>23. Rua Guilherme Bastos</t>
  </si>
  <si>
    <t>24. Estrada Guilhermina Bastos</t>
  </si>
  <si>
    <t>25. Estrada da Fazendinha</t>
  </si>
  <si>
    <t>26. Rua das Flores</t>
  </si>
  <si>
    <t>27. Travessa Alcebíades Pinto</t>
  </si>
  <si>
    <t>28. Rua Jaílton Fausto Silva</t>
  </si>
  <si>
    <t>29. Travessa John Ivan Moore</t>
  </si>
  <si>
    <t>30. Travessa A</t>
  </si>
  <si>
    <t>31. Estrada Francisco da Cruz Nunes</t>
  </si>
  <si>
    <t>32. Travessa Francisco de Brito</t>
  </si>
  <si>
    <t>33. Travessa A</t>
  </si>
  <si>
    <t>34. Travessa Frei Orlando</t>
  </si>
  <si>
    <t>35.Rua C</t>
  </si>
  <si>
    <t>Engenhoca</t>
  </si>
  <si>
    <r>
      <t>1.</t>
    </r>
    <r>
      <rPr>
        <sz val="7"/>
        <color theme="1"/>
        <rFont val="Times New Roman"/>
        <family val="1"/>
      </rPr>
      <t>  </t>
    </r>
    <r>
      <rPr>
        <sz val="12"/>
        <color theme="1"/>
        <rFont val="Times New Roman"/>
        <family val="1"/>
      </rPr>
      <t>Rua Daniel Torres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</si>
  <si>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Travessa Francisco Esteves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</si>
  <si>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Travessa Floriano Peixoto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</si>
  <si>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Travessa Potiguara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</si>
  <si>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Travessa José Carreteiro</t>
    </r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</si>
  <si>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Travessa Dona Ruth</t>
    </r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</si>
  <si>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Rua Cap. Alfredo Cruz</t>
    </r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</si>
  <si>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Travessa Aristeu Costa</t>
    </r>
  </si>
  <si>
    <r>
      <t>17.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Travessa São José</t>
    </r>
  </si>
  <si>
    <r>
      <t>18.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Travessa Assunção</t>
    </r>
  </si>
  <si>
    <r>
      <t>19.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Travessa Manoel</t>
    </r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</si>
  <si>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Travessa 18 de Julho</t>
    </r>
  </si>
  <si>
    <r>
      <t>21.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Avenida Dr. March</t>
    </r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</si>
  <si>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Avenida João Brasil</t>
    </r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</si>
  <si>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Rua Doutor Pedro Ernesto</t>
    </r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</si>
  <si>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Travessa General Estilac Leal</t>
    </r>
  </si>
  <si>
    <t>1. Rua Daniel Torres</t>
  </si>
  <si>
    <t>2. Rua Elias José Ribeiro</t>
  </si>
  <si>
    <t>4. Travessa Dr. Péricles</t>
  </si>
  <si>
    <t>5. Rua Coronel Leoncio</t>
  </si>
  <si>
    <t>6. Travessa Particular</t>
  </si>
  <si>
    <t>7. Travessa Dr. Arlindo</t>
  </si>
  <si>
    <t>8. Travessa Dona Ana</t>
  </si>
  <si>
    <t>9. Rua José Falaice</t>
  </si>
  <si>
    <t>10. Travessa 12</t>
  </si>
  <si>
    <t>11. Rua Irany Avelino da Silva</t>
  </si>
  <si>
    <t>12. Avenida João Brasil (L. Direito)</t>
  </si>
  <si>
    <t>13. Rua Olavo Bilac</t>
  </si>
  <si>
    <t>14. Rua Geraldo de Souza</t>
  </si>
  <si>
    <t>15. Travessa Osório Moreira da Costa Filho</t>
  </si>
  <si>
    <t>16. Rua Cabo Pedro Couto</t>
  </si>
  <si>
    <t>17. Rua Zalmir Garcia</t>
  </si>
  <si>
    <t>18. Rua Franscisco Angelo</t>
  </si>
  <si>
    <t>19. Rua Ana Mery</t>
  </si>
  <si>
    <t>20. Rua Ministro Souza Costa</t>
  </si>
  <si>
    <t>21. Rua Ismênia da Silva Cunha</t>
  </si>
  <si>
    <t>22. Rua Santo Antônio</t>
  </si>
  <si>
    <t>23. Travessa Prefeito João Batista da Costa Sobrinho</t>
  </si>
  <si>
    <t>1. Av. Professor João Brasil (L.Esquerdo)</t>
  </si>
  <si>
    <t>2. Rua Macedo Soares</t>
  </si>
  <si>
    <t>3. Rua Monteiro Lobato</t>
  </si>
  <si>
    <t>4. Rua Dom Antonio Almeida M. Junior</t>
  </si>
  <si>
    <t>5. Travessa Otto</t>
  </si>
  <si>
    <t>6. Rua Iguaçu</t>
  </si>
  <si>
    <t>7. Rua Guaropé</t>
  </si>
  <si>
    <t>8. Rua Gonçalves</t>
  </si>
  <si>
    <t>9. Av. Professor João Brasil, vila nº 1695</t>
  </si>
  <si>
    <t>10. Rua Olavo Bilac</t>
  </si>
  <si>
    <t>11. Rua Pastor José de Melo</t>
  </si>
  <si>
    <t>12. Rua Antonio Machado Cotta</t>
  </si>
  <si>
    <t>13. Travessa Francisco Ferreira</t>
  </si>
  <si>
    <t>14. Rua Jorge Luiz da Silva</t>
  </si>
  <si>
    <t>15. Rua 2</t>
  </si>
  <si>
    <t>16. Rua Oliveira Lima</t>
  </si>
  <si>
    <t>17. Rua A</t>
  </si>
  <si>
    <t>18. Rua Eduardo Cordeiro Uchôa</t>
  </si>
  <si>
    <t>Sapê</t>
  </si>
  <si>
    <t>1. Rua Vinte e Cinco de Novembro</t>
  </si>
  <si>
    <t>2. Rua Mato Grosso</t>
  </si>
  <si>
    <t>3.Artur Bento Moura</t>
  </si>
  <si>
    <t>4. Rua da Paz</t>
  </si>
  <si>
    <t>5. Rua Silvino Pinto</t>
  </si>
  <si>
    <t>6. Rua Olegário Alves</t>
  </si>
  <si>
    <t>7. Rua Guararema</t>
  </si>
  <si>
    <t>8. Rua Eraldo Soares</t>
  </si>
  <si>
    <t>1. Estr. Washigton Luiz</t>
  </si>
  <si>
    <t>2. Rua Santa Margarida</t>
  </si>
  <si>
    <t>3. Rua São Rafael</t>
  </si>
  <si>
    <t>4. Rua Dois</t>
  </si>
  <si>
    <t>5. Rua Antonio Lopes dos Santos</t>
  </si>
  <si>
    <t>6. Rua José Soares de Moura</t>
  </si>
  <si>
    <t>7. Rua Júlio Ferreira de Assunção</t>
  </si>
  <si>
    <t>9. Rua Lauro Nogueira Junger</t>
  </si>
  <si>
    <t>10. Rua Januário Cerqueira de Araujo</t>
  </si>
  <si>
    <t>11. Rua Conceição da Silva Barros</t>
  </si>
  <si>
    <t>12. Rua Julio da Silva Domingues</t>
  </si>
  <si>
    <t>13. Rua Alberto Laurentino Gomes Xavier</t>
  </si>
  <si>
    <t>1. Rua Pastor Erasmo Braga</t>
  </si>
  <si>
    <t>2. Rua Heredina Honorato</t>
  </si>
  <si>
    <t>3. Rua João Honorato</t>
  </si>
  <si>
    <t>4. Rua Dr. Mario Caldas</t>
  </si>
  <si>
    <t>5. Rua A</t>
  </si>
  <si>
    <t>6. Travessa Albertina Faria</t>
  </si>
  <si>
    <t>7. Rua Selma</t>
  </si>
  <si>
    <t>8. Rua José Freire</t>
  </si>
  <si>
    <t>9. Maria Alves da Fonseca</t>
  </si>
  <si>
    <t>Mês</t>
  </si>
  <si>
    <t>Maceió (Bacia Icaraí)</t>
  </si>
  <si>
    <t>Santa Bárbara (Bacia Sapê)</t>
  </si>
  <si>
    <t>Lago da Batalha/Badu (Bacia Icaraí)</t>
  </si>
  <si>
    <t>Engenhoca (Bacia Barreto)</t>
  </si>
  <si>
    <t>Barreto / Baldeador (Bacia Barreto)</t>
  </si>
  <si>
    <t>Bacia Jurujuba</t>
  </si>
  <si>
    <t>Bacia Camboinhas</t>
  </si>
  <si>
    <t>Atalaia / Baldeador (Bacia Sapê)</t>
  </si>
  <si>
    <t>Bacia Icaraí</t>
  </si>
  <si>
    <t>Bacia Maria Paula</t>
  </si>
  <si>
    <t>Bacia Toque Toque</t>
  </si>
  <si>
    <t>Bacia Itaipu</t>
  </si>
  <si>
    <t>Bacia Sapê</t>
  </si>
  <si>
    <t>out/25</t>
  </si>
  <si>
    <t>nov/25</t>
  </si>
  <si>
    <t>dez/25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</si>
  <si>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</si>
  <si>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</si>
  <si>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</si>
  <si>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</si>
  <si>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</si>
  <si>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</si>
  <si>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</si>
  <si>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</si>
  <si>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</si>
  <si>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</si>
  <si>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</si>
  <si>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</si>
  <si>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</si>
  <si>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</si>
  <si>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</si>
  <si>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</si>
  <si>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</si>
  <si>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</si>
  <si>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</si>
  <si>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</si>
  <si>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</si>
  <si>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</si>
  <si>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</si>
  <si>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</si>
  <si>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</si>
  <si>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</si>
  <si>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</si>
  <si>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abr/28</t>
  </si>
  <si>
    <t>mai/28</t>
  </si>
  <si>
    <t>jun/28</t>
  </si>
  <si>
    <t>jul/28</t>
  </si>
  <si>
    <t>ago/28</t>
  </si>
  <si>
    <t>set/28</t>
  </si>
  <si>
    <t>out/28</t>
  </si>
  <si>
    <t>nov/28</t>
  </si>
  <si>
    <t>dez/28</t>
  </si>
  <si>
    <t>Data</t>
  </si>
  <si>
    <t>Rede</t>
  </si>
  <si>
    <t>Elevatória</t>
  </si>
  <si>
    <t>Recalque</t>
  </si>
  <si>
    <t>Ligações</t>
  </si>
  <si>
    <t>Rede Acumulado</t>
  </si>
  <si>
    <t>Bacias</t>
  </si>
  <si>
    <t>Descrição Serviços</t>
  </si>
  <si>
    <t xml:space="preserve">Quantidade </t>
  </si>
  <si>
    <t>Preço Unitário 2024</t>
  </si>
  <si>
    <t>Valor 2024</t>
  </si>
  <si>
    <t>Bacia Barreto</t>
  </si>
  <si>
    <t>Rede Coletora de Esgoto PVC DN 150 mm</t>
  </si>
  <si>
    <t>Rede Coletora de Esgoto PVC DN 200 mm</t>
  </si>
  <si>
    <t>Rede Coletora de Esgoto PVC DN 300 mm</t>
  </si>
  <si>
    <t>Rede de Recalque PVC DN 100 mm</t>
  </si>
  <si>
    <t>Ligações Domiciliares de Esgoto Sanitário</t>
  </si>
  <si>
    <t>Construção de EEE- Estação Elevatória de Esgoto</t>
  </si>
  <si>
    <t>Bacia Toque-toque</t>
  </si>
  <si>
    <t>Bairros</t>
  </si>
  <si>
    <t>Quantidade Economias</t>
  </si>
  <si>
    <t>Faturamento</t>
  </si>
  <si>
    <t>Várzea das Moças</t>
  </si>
  <si>
    <t>Fonseca</t>
  </si>
  <si>
    <t>Largo da Batalha</t>
  </si>
  <si>
    <t>Rio do Ouro</t>
  </si>
  <si>
    <t>Vila Progresso</t>
  </si>
  <si>
    <t>Baldeador</t>
  </si>
  <si>
    <t>Badu</t>
  </si>
  <si>
    <t>Barreto</t>
  </si>
  <si>
    <t>Tenente Jardim</t>
  </si>
  <si>
    <t>Ititioca</t>
  </si>
  <si>
    <t>Cantagalo</t>
  </si>
  <si>
    <t>Maria Paula</t>
  </si>
  <si>
    <t>Caramujo</t>
  </si>
  <si>
    <t>Viçoso Jardim</t>
  </si>
  <si>
    <t>Muriqui</t>
  </si>
  <si>
    <t>Engenho do Mato</t>
  </si>
  <si>
    <t>Cubango</t>
  </si>
  <si>
    <t>Maravista</t>
  </si>
  <si>
    <t>Matapaca</t>
  </si>
  <si>
    <t>Quantidade Total (m)</t>
  </si>
  <si>
    <t>Preço unitário 2025</t>
  </si>
  <si>
    <t>Valor 2025</t>
  </si>
  <si>
    <t>Rede Coletora de Esgoto PVC Total</t>
  </si>
  <si>
    <t>Construção de EEE - Estação Elevatória de Esgoto</t>
  </si>
  <si>
    <t>Bairro/Bacia</t>
  </si>
  <si>
    <t>Largo da Batalha/Badu (Bacia Icaraí)</t>
  </si>
  <si>
    <t>UNIVERSALIZACAO BACIA ICARAI LNE</t>
  </si>
  <si>
    <t xml:space="preserve">CC PARA LIGAÇÃO NOVA DE ESGOTO </t>
  </si>
  <si>
    <t>UNIVERSALIZACAO BACIA ICARAI REDE</t>
  </si>
  <si>
    <t>UNIVERSALIZACAO BACIA ICARAI EEEB</t>
  </si>
  <si>
    <t>UNIVERSALIZACAO BACIAS-PESSOAL</t>
  </si>
  <si>
    <t>PESSOAL</t>
  </si>
  <si>
    <t>CC PARA PAGAMENTO DE MÃO DE OBRA PRÓPRIA</t>
  </si>
  <si>
    <t>CC CRIADO PELA CONTABILIDADE</t>
  </si>
  <si>
    <t>Bacia Jurujuba (Bacia Jurujuba)</t>
  </si>
  <si>
    <t>Bacia Camboinhas (Bacia Camboinhas)</t>
  </si>
  <si>
    <t>Bacia Icaraí (Bacia Icaraí)</t>
  </si>
  <si>
    <t>Bacia Maria Paula (Bacia Maria Paula)</t>
  </si>
  <si>
    <t>Bacia Toque Toque (Bacia Toque Toque)</t>
  </si>
  <si>
    <t>Bacia Itaipu (Bacia Itaipu)</t>
  </si>
  <si>
    <t>Bacia Sapê (Bacia Sapê)</t>
  </si>
  <si>
    <t>Contrato</t>
  </si>
  <si>
    <t>Empresa</t>
  </si>
  <si>
    <t>Serviço Referência</t>
  </si>
  <si>
    <t>Período</t>
  </si>
  <si>
    <t>Documentação Mensal</t>
  </si>
  <si>
    <t>Memória/ Resumo</t>
  </si>
  <si>
    <t>Boletim de Medição</t>
  </si>
  <si>
    <t>Planilhas Obra Lean</t>
  </si>
  <si>
    <t>Relatório Fotográfico</t>
  </si>
  <si>
    <t>Boletim de Medição 
(De Acordo Empresa)</t>
  </si>
  <si>
    <t>Medição e Relatório  (De acordo Joseane)</t>
  </si>
  <si>
    <t>Medição e Relatório  (De acordo Bruno)</t>
  </si>
  <si>
    <t>Documentação de Segurança</t>
  </si>
  <si>
    <t>Valor da Medição</t>
  </si>
  <si>
    <t>Nº Medição</t>
  </si>
  <si>
    <t xml:space="preserve">Id Integra </t>
  </si>
  <si>
    <t>Nº do Pedido</t>
  </si>
  <si>
    <t>1487312/2022</t>
  </si>
  <si>
    <t xml:space="preserve">COTA </t>
  </si>
  <si>
    <t xml:space="preserve">Redes </t>
  </si>
  <si>
    <t>Pendente</t>
  </si>
  <si>
    <t>1403191/2022</t>
  </si>
  <si>
    <t xml:space="preserve">CPN OLIVEIRA CONSTRUTORA E PAVIMENTACA </t>
  </si>
  <si>
    <t>Redes</t>
  </si>
  <si>
    <t>1495900/2022</t>
  </si>
  <si>
    <t>RML CONSTRUCOES E SERVICOS EIRELI</t>
  </si>
  <si>
    <t>OK</t>
  </si>
  <si>
    <t>Outubro</t>
  </si>
  <si>
    <t>Bacia Toque-Toque</t>
  </si>
  <si>
    <t>Santa Bárbara</t>
  </si>
  <si>
    <t>Bairro</t>
  </si>
  <si>
    <t xml:space="preserve">Santa Bárbara </t>
  </si>
  <si>
    <r>
      <t xml:space="preserve">1. 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Rua Damastor Ribeiro</t>
    </r>
  </si>
  <si>
    <r>
      <t>4.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Rua Jandira Pereira </t>
    </r>
  </si>
  <si>
    <r>
      <t>5.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Rua Olavo de Paula</t>
    </r>
  </si>
  <si>
    <r>
      <t>6.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Travessa A</t>
    </r>
  </si>
  <si>
    <r>
      <t>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Travessa João Brasil</t>
    </r>
  </si>
  <si>
    <r>
      <t>3.</t>
    </r>
    <r>
      <rPr>
        <sz val="7"/>
        <color theme="1"/>
        <rFont val="Times New Roman"/>
        <family val="1"/>
      </rPr>
      <t xml:space="preserve">  </t>
    </r>
    <r>
      <rPr>
        <sz val="12"/>
        <color theme="1"/>
        <rFont val="Times New Roman"/>
        <family val="1"/>
      </rPr>
      <t>Rua Carmelita</t>
    </r>
  </si>
  <si>
    <r>
      <t>4.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Rua Dez</t>
    </r>
  </si>
  <si>
    <r>
      <t>6.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Travessa Norival de Freitas</t>
    </r>
  </si>
  <si>
    <r>
      <t>7.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Travessa Renato Araujo</t>
    </r>
  </si>
  <si>
    <r>
      <t>8.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Travessa Dois de Dezembro</t>
    </r>
  </si>
  <si>
    <r>
      <t>9.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Travessa Mal. Fontoura</t>
    </r>
  </si>
  <si>
    <t>Icaraí</t>
  </si>
  <si>
    <t>1. Lemos Cunha</t>
  </si>
  <si>
    <t>36. Rua João Batista da Costa (Condomínio Ubá V)</t>
  </si>
  <si>
    <t>3. Rua Luiz Felipe Lamego</t>
  </si>
  <si>
    <t>1. Rua Sérgio Porto</t>
  </si>
  <si>
    <t>2. Rua Martinha Carreiro</t>
  </si>
  <si>
    <t>3. Travessa Dona Alzira</t>
  </si>
  <si>
    <r>
      <t>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Rua 7 e Escadaria</t>
    </r>
  </si>
  <si>
    <t>2. Rua Prof. Roberto Lira</t>
  </si>
  <si>
    <r>
      <t>7.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Rua Luiz Oscar Mangeon</t>
    </r>
  </si>
  <si>
    <r>
      <t>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Rua Hélio de Mattos</t>
    </r>
  </si>
  <si>
    <r>
      <t>5.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Rua Manoel de Miranda</t>
    </r>
  </si>
  <si>
    <t>8. Rua 7</t>
  </si>
  <si>
    <t>37.Travessa Vale Feliz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</si>
</sst>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17" fontId="0" fillId="0" borderId="0" xfId="0" applyNumberForma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center" vertical="center"/>
    </xf>
    <xf numFmtId="17" fontId="1" fillId="0" borderId="11" xfId="1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5" borderId="0" xfId="0" applyFill="1"/>
    <xf numFmtId="0" fontId="2" fillId="0" borderId="2" xfId="0" applyFont="1" applyFill="1" applyBorder="1"/>
    <xf numFmtId="0" fontId="2" fillId="0" borderId="2" xfId="0" applyFont="1" applyFill="1" applyBorder="1" applyAlignment="1">
      <alignment horizontal="center"/>
    </xf>
    <xf numFmtId="17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0" borderId="14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0" fillId="0" borderId="0" xfId="0" applyFill="1"/>
    <xf numFmtId="0" fontId="8" fillId="0" borderId="20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44" fontId="8" fillId="0" borderId="21" xfId="0" applyNumberFormat="1" applyFont="1" applyFill="1" applyBorder="1" applyAlignment="1">
      <alignment horizontal="center" vertical="center" wrapText="1"/>
    </xf>
    <xf numFmtId="0" fontId="9" fillId="0" borderId="21" xfId="0" quotePrefix="1" applyFont="1" applyFill="1" applyBorder="1" applyAlignment="1">
      <alignment horizontal="center" vertical="center" wrapText="1"/>
    </xf>
    <xf numFmtId="49" fontId="9" fillId="0" borderId="21" xfId="0" quotePrefix="1" applyNumberFormat="1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left" vertical="center" wrapText="1"/>
    </xf>
    <xf numFmtId="0" fontId="0" fillId="0" borderId="0" xfId="1" applyNumberFormat="1" applyFont="1"/>
    <xf numFmtId="0" fontId="0" fillId="0" borderId="0" xfId="0" applyNumberFormat="1"/>
    <xf numFmtId="0" fontId="0" fillId="7" borderId="0" xfId="0" applyFill="1"/>
    <xf numFmtId="0" fontId="0" fillId="8" borderId="0" xfId="0" applyFill="1"/>
    <xf numFmtId="44" fontId="11" fillId="0" borderId="0" xfId="1" applyFont="1"/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9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2" fillId="0" borderId="12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35">
    <dxf>
      <font>
        <color auto="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border outline="0">
        <top style="thin">
          <color theme="2" tint="-0.249977111117893"/>
        </top>
      </border>
    </dxf>
    <dxf>
      <border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 outline="0">
        <bottom style="thin">
          <color theme="2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2" formatCode="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2" formatCode="m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2" name="Tabela2" displayName="Tabela2" ref="A1:N40" totalsRowShown="0">
  <autoFilter ref="A1:N40"/>
  <tableColumns count="14">
    <tableColumn id="1" name="Mês"/>
    <tableColumn id="2" name="Maceió (Bacia Icaraí)"/>
    <tableColumn id="3" name="Santa Bárbara (Bacia Sapê)"/>
    <tableColumn id="4" name="Lago da Batalha/Badu (Bacia Icaraí)"/>
    <tableColumn id="5" name="Engenhoca (Bacia Barreto)"/>
    <tableColumn id="6" name="Barreto / Baldeador (Bacia Barreto)"/>
    <tableColumn id="7" name="Bacia Jurujuba"/>
    <tableColumn id="8" name="Bacia Camboinhas"/>
    <tableColumn id="9" name="Atalaia / Baldeador (Bacia Sapê)"/>
    <tableColumn id="10" name="Bacia Icaraí"/>
    <tableColumn id="11" name="Bacia Maria Paula"/>
    <tableColumn id="12" name="Bacia Toque Toque"/>
    <tableColumn id="13" name="Bacia Itaipu"/>
    <tableColumn id="14" name="Bacia Sapê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ela16" displayName="Tabela16" ref="A1:D25" totalsRowShown="0">
  <autoFilter ref="A1:D25"/>
  <tableColumns count="4">
    <tableColumn id="1" name="Bairros"/>
    <tableColumn id="4" name="Bacia"/>
    <tableColumn id="2" name="Quantidade Economias"/>
    <tableColumn id="3" name="Faturamento" dataDxfId="34" dataCellStyle="Mo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7" name="Tabela18" displayName="Tabela18" ref="A1:AN53" totalsRowShown="0" headerRowDxfId="33" headerRowCellStyle="Moeda">
  <autoFilter ref="A1:AN53"/>
  <tableColumns count="40">
    <tableColumn id="1" name="Bairro/Bacia"/>
    <tableColumn id="2" name="out/25" dataCellStyle="Moeda"/>
    <tableColumn id="3" name="nov/25" dataCellStyle="Moeda"/>
    <tableColumn id="4" name="dez/25" dataCellStyle="Moeda"/>
    <tableColumn id="5" name="jan/26" dataCellStyle="Moeda"/>
    <tableColumn id="6" name="fev/26" dataCellStyle="Moeda"/>
    <tableColumn id="7" name="mar/26" dataCellStyle="Moeda"/>
    <tableColumn id="8" name="abr/26" dataCellStyle="Moeda"/>
    <tableColumn id="9" name="mai/26" dataCellStyle="Moeda"/>
    <tableColumn id="10" name="jun/26" dataCellStyle="Moeda"/>
    <tableColumn id="11" name="jul/26" dataCellStyle="Moeda"/>
    <tableColumn id="12" name="ago/26" dataCellStyle="Moeda"/>
    <tableColumn id="13" name="set/26" dataCellStyle="Moeda"/>
    <tableColumn id="14" name="out/26" dataCellStyle="Moeda"/>
    <tableColumn id="15" name="nov/26" dataCellStyle="Moeda"/>
    <tableColumn id="16" name="dez/26" dataCellStyle="Moeda"/>
    <tableColumn id="17" name="jan/27" dataCellStyle="Moeda"/>
    <tableColumn id="18" name="fev/27" dataCellStyle="Moeda"/>
    <tableColumn id="19" name="mar/27" dataCellStyle="Moeda"/>
    <tableColumn id="20" name="abr/27" dataCellStyle="Moeda"/>
    <tableColumn id="21" name="mai/27" dataCellStyle="Moeda"/>
    <tableColumn id="22" name="jun/27" dataCellStyle="Moeda"/>
    <tableColumn id="23" name="jul/27" dataCellStyle="Moeda"/>
    <tableColumn id="24" name="ago/27" dataCellStyle="Moeda"/>
    <tableColumn id="25" name="set/27" dataCellStyle="Moeda"/>
    <tableColumn id="26" name="out/27" dataCellStyle="Moeda"/>
    <tableColumn id="27" name="nov/27" dataCellStyle="Moeda"/>
    <tableColumn id="28" name="dez/27" dataCellStyle="Moeda"/>
    <tableColumn id="29" name="jan/28" dataCellStyle="Moeda"/>
    <tableColumn id="30" name="fev/28" dataCellStyle="Moeda"/>
    <tableColumn id="31" name="mar/28" dataCellStyle="Moeda"/>
    <tableColumn id="32" name="abr/28" dataCellStyle="Moeda"/>
    <tableColumn id="33" name="mai/28" dataCellStyle="Moeda"/>
    <tableColumn id="34" name="jun/28" dataCellStyle="Moeda"/>
    <tableColumn id="35" name="jul/28" dataCellStyle="Moeda"/>
    <tableColumn id="36" name="ago/28" dataCellStyle="Moeda"/>
    <tableColumn id="37" name="set/28" dataCellStyle="Moeda"/>
    <tableColumn id="38" name="out/28" dataCellStyle="Moeda"/>
    <tableColumn id="39" name="nov/28" dataCellStyle="Moeda"/>
    <tableColumn id="40" name="dez/28" dataCellStyle="Moe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a15" displayName="Tabela15" ref="A1:E49" totalsRowShown="0">
  <autoFilter ref="A1:E49"/>
  <tableColumns count="5">
    <tableColumn id="1" name="Bacias"/>
    <tableColumn id="2" name="Descrição Serviços"/>
    <tableColumn id="3" name="Quantidade "/>
    <tableColumn id="4" name="Preço Unitário 2024" dataDxfId="32" dataCellStyle="Moeda"/>
    <tableColumn id="5" name="Valor 2024" dataDxfId="31" dataCellStyle="Moeda">
      <calculatedColumnFormula>C2*D2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Tabela14" displayName="Tabela14" ref="A1:F40" totalsRowShown="0">
  <autoFilter ref="A1:F40"/>
  <tableColumns count="6">
    <tableColumn id="1" name="Data" dataDxfId="30"/>
    <tableColumn id="2" name="Rede"/>
    <tableColumn id="3" name="Elevatória"/>
    <tableColumn id="4" name="Recalque"/>
    <tableColumn id="5" name="Ligações"/>
    <tableColumn id="6" name="Rede Acumul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a17" displayName="Tabela17" ref="A1:D8" totalsRowShown="0" headerRowDxfId="29" dataDxfId="28">
  <autoFilter ref="A1:D8"/>
  <tableColumns count="4">
    <tableColumn id="1" name="Descrição Serviços" dataDxfId="27"/>
    <tableColumn id="2" name="Quantidade Total (m)" dataDxfId="26"/>
    <tableColumn id="3" name="Preço unitário 2025" dataDxfId="25" dataCellStyle="Moeda"/>
    <tableColumn id="4" name="Valor 2025" dataDxfId="24" dataCellStyle="Moeda">
      <calculatedColumnFormula>B2*C2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ela19" displayName="Tabela19" ref="A1:D171" totalsRowShown="0" headerRowDxfId="23" headerRowBorderDxfId="22" tableBorderDxfId="21" totalsRowBorderDxfId="20">
  <autoFilter ref="A1:D171"/>
  <sortState ref="A2:E36">
    <sortCondition ref="B1:B168"/>
  </sortState>
  <tableColumns count="4">
    <tableColumn id="1" name="Bairro" dataDxfId="19"/>
    <tableColumn id="2" name="Equipe" dataDxfId="18"/>
    <tableColumn id="3" name="Logradouro" dataDxfId="17"/>
    <tableColumn id="4" name="Status" dataDxf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selection activeCell="F9" sqref="F9"/>
    </sheetView>
  </sheetViews>
  <sheetFormatPr defaultRowHeight="15" x14ac:dyDescent="0.25"/>
  <cols>
    <col min="1" max="1" width="7.85546875" bestFit="1" customWidth="1"/>
    <col min="2" max="2" width="23.28515625" customWidth="1"/>
    <col min="3" max="3" width="29" customWidth="1"/>
    <col min="4" max="4" width="36.7109375" customWidth="1"/>
    <col min="5" max="5" width="28.85546875" customWidth="1"/>
    <col min="6" max="6" width="36.7109375" customWidth="1"/>
    <col min="7" max="7" width="17.140625" customWidth="1"/>
    <col min="8" max="8" width="21.140625" customWidth="1"/>
    <col min="9" max="9" width="33.85546875" customWidth="1"/>
    <col min="10" max="10" width="14.28515625" customWidth="1"/>
    <col min="11" max="11" width="20" customWidth="1"/>
    <col min="12" max="12" width="21.5703125" customWidth="1"/>
    <col min="13" max="13" width="14.5703125" customWidth="1"/>
    <col min="14" max="14" width="13.7109375" customWidth="1"/>
  </cols>
  <sheetData>
    <row r="1" spans="1:14" x14ac:dyDescent="0.25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</row>
    <row r="2" spans="1:14" x14ac:dyDescent="0.25">
      <c r="A2" t="s">
        <v>215</v>
      </c>
      <c r="B2">
        <v>408</v>
      </c>
      <c r="C2">
        <v>408</v>
      </c>
      <c r="D2">
        <v>204</v>
      </c>
      <c r="E2">
        <v>612</v>
      </c>
    </row>
    <row r="3" spans="1:14" x14ac:dyDescent="0.25">
      <c r="A3" t="s">
        <v>216</v>
      </c>
      <c r="B3">
        <v>408</v>
      </c>
      <c r="C3">
        <v>408</v>
      </c>
      <c r="D3">
        <v>204</v>
      </c>
      <c r="E3">
        <v>612</v>
      </c>
    </row>
    <row r="4" spans="1:14" x14ac:dyDescent="0.25">
      <c r="A4" t="s">
        <v>217</v>
      </c>
      <c r="B4">
        <v>408</v>
      </c>
      <c r="C4">
        <v>408</v>
      </c>
      <c r="D4">
        <v>204</v>
      </c>
      <c r="E4">
        <v>612</v>
      </c>
    </row>
    <row r="5" spans="1:14" x14ac:dyDescent="0.25">
      <c r="A5" t="s">
        <v>218</v>
      </c>
      <c r="B5">
        <v>612</v>
      </c>
      <c r="C5">
        <v>408</v>
      </c>
      <c r="D5">
        <v>408</v>
      </c>
      <c r="E5">
        <v>612</v>
      </c>
      <c r="H5">
        <v>292.83333333333331</v>
      </c>
      <c r="I5">
        <v>1632</v>
      </c>
    </row>
    <row r="6" spans="1:14" x14ac:dyDescent="0.25">
      <c r="A6" t="s">
        <v>219</v>
      </c>
      <c r="B6">
        <v>612</v>
      </c>
      <c r="C6">
        <v>408</v>
      </c>
      <c r="D6">
        <v>408</v>
      </c>
      <c r="E6">
        <v>612</v>
      </c>
      <c r="H6">
        <v>292.83333333333331</v>
      </c>
      <c r="I6">
        <v>1632</v>
      </c>
    </row>
    <row r="7" spans="1:14" x14ac:dyDescent="0.25">
      <c r="A7" t="s">
        <v>220</v>
      </c>
      <c r="B7">
        <v>612</v>
      </c>
      <c r="C7">
        <v>408</v>
      </c>
      <c r="D7">
        <v>408</v>
      </c>
      <c r="E7">
        <v>612</v>
      </c>
      <c r="H7">
        <v>292.83333333333331</v>
      </c>
      <c r="I7">
        <v>1632</v>
      </c>
    </row>
    <row r="8" spans="1:14" x14ac:dyDescent="0.25">
      <c r="A8" t="s">
        <v>221</v>
      </c>
      <c r="B8">
        <v>612</v>
      </c>
      <c r="C8">
        <v>408</v>
      </c>
      <c r="D8">
        <v>408</v>
      </c>
      <c r="E8">
        <v>612</v>
      </c>
      <c r="H8">
        <v>292.83333333333331</v>
      </c>
      <c r="I8">
        <v>1632</v>
      </c>
    </row>
    <row r="9" spans="1:14" x14ac:dyDescent="0.25">
      <c r="A9" t="s">
        <v>222</v>
      </c>
      <c r="B9">
        <v>612</v>
      </c>
      <c r="C9">
        <v>408</v>
      </c>
      <c r="D9">
        <v>408</v>
      </c>
      <c r="E9">
        <v>612</v>
      </c>
      <c r="H9">
        <v>292.83333333333331</v>
      </c>
      <c r="I9">
        <v>1632</v>
      </c>
    </row>
    <row r="10" spans="1:14" x14ac:dyDescent="0.25">
      <c r="A10" t="s">
        <v>223</v>
      </c>
      <c r="B10">
        <v>612</v>
      </c>
      <c r="C10">
        <v>368</v>
      </c>
      <c r="D10">
        <v>408</v>
      </c>
      <c r="E10">
        <v>612</v>
      </c>
      <c r="H10">
        <v>292.83333333333331</v>
      </c>
      <c r="I10">
        <v>1632</v>
      </c>
    </row>
    <row r="11" spans="1:14" x14ac:dyDescent="0.25">
      <c r="A11" t="s">
        <v>224</v>
      </c>
      <c r="B11">
        <v>612</v>
      </c>
      <c r="D11">
        <v>408</v>
      </c>
      <c r="E11">
        <v>612</v>
      </c>
      <c r="F11">
        <v>1328.25</v>
      </c>
      <c r="H11">
        <v>292.83333333333331</v>
      </c>
      <c r="I11">
        <v>1632</v>
      </c>
    </row>
    <row r="12" spans="1:14" x14ac:dyDescent="0.25">
      <c r="A12" t="s">
        <v>225</v>
      </c>
      <c r="B12">
        <v>612</v>
      </c>
      <c r="D12">
        <v>408</v>
      </c>
      <c r="E12">
        <v>612</v>
      </c>
      <c r="F12">
        <v>1328.25</v>
      </c>
      <c r="H12">
        <v>292.83333333333331</v>
      </c>
      <c r="I12">
        <v>1632</v>
      </c>
    </row>
    <row r="13" spans="1:14" x14ac:dyDescent="0.25">
      <c r="A13" t="s">
        <v>226</v>
      </c>
      <c r="B13">
        <v>640</v>
      </c>
      <c r="D13">
        <v>408</v>
      </c>
      <c r="E13">
        <v>816</v>
      </c>
      <c r="F13">
        <v>1328.25</v>
      </c>
      <c r="G13">
        <v>171.75</v>
      </c>
      <c r="H13">
        <v>292.83333333333331</v>
      </c>
      <c r="I13">
        <v>1632</v>
      </c>
    </row>
    <row r="14" spans="1:14" x14ac:dyDescent="0.25">
      <c r="A14" t="s">
        <v>227</v>
      </c>
      <c r="D14">
        <v>408</v>
      </c>
      <c r="E14">
        <v>816</v>
      </c>
      <c r="F14">
        <v>1328.25</v>
      </c>
      <c r="G14">
        <v>171.75</v>
      </c>
      <c r="H14">
        <v>292.83333333333331</v>
      </c>
      <c r="I14">
        <v>1836</v>
      </c>
    </row>
    <row r="15" spans="1:14" x14ac:dyDescent="0.25">
      <c r="A15" t="s">
        <v>228</v>
      </c>
      <c r="D15">
        <v>816</v>
      </c>
      <c r="E15">
        <v>816</v>
      </c>
      <c r="F15">
        <v>1328.25</v>
      </c>
      <c r="G15">
        <v>171.75</v>
      </c>
      <c r="H15">
        <v>292.83333333333331</v>
      </c>
      <c r="I15">
        <v>1836</v>
      </c>
    </row>
    <row r="16" spans="1:14" x14ac:dyDescent="0.25">
      <c r="A16" t="s">
        <v>229</v>
      </c>
      <c r="D16">
        <v>724</v>
      </c>
      <c r="E16">
        <v>816</v>
      </c>
      <c r="F16">
        <v>1328.25</v>
      </c>
      <c r="G16">
        <v>171.75</v>
      </c>
      <c r="H16">
        <v>292.83333333333331</v>
      </c>
      <c r="I16">
        <v>1938</v>
      </c>
    </row>
    <row r="17" spans="1:14" x14ac:dyDescent="0.25">
      <c r="A17" t="s">
        <v>230</v>
      </c>
      <c r="E17">
        <v>816</v>
      </c>
      <c r="F17">
        <v>1328.25</v>
      </c>
      <c r="J17">
        <v>2496.9583333333335</v>
      </c>
      <c r="M17">
        <v>2556.7916666666665</v>
      </c>
    </row>
    <row r="18" spans="1:14" x14ac:dyDescent="0.25">
      <c r="A18" t="s">
        <v>231</v>
      </c>
      <c r="E18">
        <v>816</v>
      </c>
      <c r="F18">
        <v>1328.25</v>
      </c>
      <c r="J18">
        <v>2496.9583333333335</v>
      </c>
      <c r="M18">
        <v>2556.7916666666665</v>
      </c>
    </row>
    <row r="19" spans="1:14" x14ac:dyDescent="0.25">
      <c r="A19" t="s">
        <v>232</v>
      </c>
      <c r="E19">
        <v>816</v>
      </c>
      <c r="F19">
        <v>1328.25</v>
      </c>
      <c r="J19">
        <v>2496.9583333333335</v>
      </c>
      <c r="M19">
        <v>2556.7916666666665</v>
      </c>
    </row>
    <row r="20" spans="1:14" x14ac:dyDescent="0.25">
      <c r="A20" t="s">
        <v>233</v>
      </c>
      <c r="E20">
        <v>816</v>
      </c>
      <c r="F20">
        <v>1328.25</v>
      </c>
      <c r="J20">
        <v>2496.9583333333335</v>
      </c>
      <c r="K20">
        <v>973.66666666666663</v>
      </c>
      <c r="M20">
        <v>2556.7916666666665</v>
      </c>
    </row>
    <row r="21" spans="1:14" x14ac:dyDescent="0.25">
      <c r="A21" t="s">
        <v>234</v>
      </c>
      <c r="E21">
        <v>816</v>
      </c>
      <c r="F21">
        <v>1328.25</v>
      </c>
      <c r="J21">
        <v>2496.9583333333335</v>
      </c>
      <c r="K21">
        <v>973.66666666666663</v>
      </c>
      <c r="M21">
        <v>2556.7916666666665</v>
      </c>
    </row>
    <row r="22" spans="1:14" x14ac:dyDescent="0.25">
      <c r="A22" t="s">
        <v>235</v>
      </c>
      <c r="E22">
        <v>906</v>
      </c>
      <c r="F22">
        <v>1328.25</v>
      </c>
      <c r="J22">
        <v>2496.9583333333335</v>
      </c>
      <c r="K22">
        <v>973.66666666666663</v>
      </c>
      <c r="M22">
        <v>2556.7916666666665</v>
      </c>
    </row>
    <row r="23" spans="1:14" x14ac:dyDescent="0.25">
      <c r="A23" t="s">
        <v>236</v>
      </c>
      <c r="J23">
        <v>2496.9583333333335</v>
      </c>
      <c r="K23">
        <v>973.66666666666663</v>
      </c>
      <c r="L23">
        <v>1396.2777777777776</v>
      </c>
      <c r="M23">
        <v>2556.7916666666665</v>
      </c>
    </row>
    <row r="24" spans="1:14" x14ac:dyDescent="0.25">
      <c r="A24" t="s">
        <v>237</v>
      </c>
      <c r="J24">
        <v>2496.9583333333335</v>
      </c>
      <c r="K24">
        <v>973.66666666666663</v>
      </c>
      <c r="L24">
        <v>1396.2777777777776</v>
      </c>
      <c r="M24">
        <v>2556.7916666666665</v>
      </c>
    </row>
    <row r="25" spans="1:14" x14ac:dyDescent="0.25">
      <c r="A25" t="s">
        <v>238</v>
      </c>
      <c r="J25">
        <v>2496.9583333333335</v>
      </c>
      <c r="K25">
        <v>973.66666666666663</v>
      </c>
      <c r="L25">
        <v>1396.2777777777776</v>
      </c>
      <c r="M25">
        <v>2556.7916666666665</v>
      </c>
    </row>
    <row r="26" spans="1:14" x14ac:dyDescent="0.25">
      <c r="A26" t="s">
        <v>239</v>
      </c>
      <c r="J26">
        <v>2496.9583333333335</v>
      </c>
      <c r="K26">
        <v>973.66666666666663</v>
      </c>
      <c r="L26">
        <v>1396.2777777777776</v>
      </c>
      <c r="M26">
        <v>2556.7916666666665</v>
      </c>
    </row>
    <row r="27" spans="1:14" x14ac:dyDescent="0.25">
      <c r="A27" t="s">
        <v>240</v>
      </c>
      <c r="J27">
        <v>2496.9583333333335</v>
      </c>
      <c r="K27">
        <v>973.66666666666663</v>
      </c>
      <c r="L27">
        <v>1396.2777777777776</v>
      </c>
      <c r="M27">
        <v>2556.7916666666665</v>
      </c>
    </row>
    <row r="28" spans="1:14" x14ac:dyDescent="0.25">
      <c r="A28" t="s">
        <v>241</v>
      </c>
      <c r="J28">
        <v>2496.9583333333335</v>
      </c>
      <c r="K28">
        <v>973.66666666666663</v>
      </c>
      <c r="L28">
        <v>1396.2777777777776</v>
      </c>
      <c r="M28">
        <v>2556.7916666666665</v>
      </c>
    </row>
    <row r="29" spans="1:14" x14ac:dyDescent="0.25">
      <c r="A29" t="s">
        <v>242</v>
      </c>
      <c r="J29">
        <v>2496.9583333333335</v>
      </c>
      <c r="L29">
        <v>1396.2777777777781</v>
      </c>
      <c r="M29">
        <v>2556.7916666666665</v>
      </c>
      <c r="N29">
        <v>1479.0833333333333</v>
      </c>
    </row>
    <row r="30" spans="1:14" x14ac:dyDescent="0.25">
      <c r="A30" t="s">
        <v>243</v>
      </c>
      <c r="J30">
        <v>2496.9583333333335</v>
      </c>
      <c r="L30">
        <v>1396.2777777777781</v>
      </c>
      <c r="M30">
        <v>2556.7916666666665</v>
      </c>
      <c r="N30">
        <v>1479.0833333333333</v>
      </c>
    </row>
    <row r="31" spans="1:14" x14ac:dyDescent="0.25">
      <c r="A31" t="s">
        <v>244</v>
      </c>
      <c r="J31">
        <v>2496.9583333333335</v>
      </c>
      <c r="L31">
        <v>1396.2777777777781</v>
      </c>
      <c r="M31">
        <v>2556.7916666666665</v>
      </c>
      <c r="N31">
        <v>1479.0833333333333</v>
      </c>
    </row>
    <row r="32" spans="1:14" x14ac:dyDescent="0.25">
      <c r="A32" t="s">
        <v>245</v>
      </c>
      <c r="J32">
        <v>2496.9583333333335</v>
      </c>
      <c r="L32">
        <v>1396.2777777777781</v>
      </c>
      <c r="M32">
        <v>2556.7916666666665</v>
      </c>
      <c r="N32">
        <v>1479.0833333333333</v>
      </c>
    </row>
    <row r="33" spans="1:14" x14ac:dyDescent="0.25">
      <c r="A33" t="s">
        <v>246</v>
      </c>
      <c r="J33">
        <v>2496.9583333333335</v>
      </c>
      <c r="L33">
        <v>1396.2777777777781</v>
      </c>
      <c r="M33">
        <v>2556.7916666666665</v>
      </c>
      <c r="N33">
        <v>1479.0833333333333</v>
      </c>
    </row>
    <row r="34" spans="1:14" x14ac:dyDescent="0.25">
      <c r="A34" t="s">
        <v>247</v>
      </c>
      <c r="J34">
        <v>2496.9583333333335</v>
      </c>
      <c r="L34">
        <v>1396.2777777777781</v>
      </c>
      <c r="M34">
        <v>2556.7916666666665</v>
      </c>
      <c r="N34">
        <v>1479.0833333333333</v>
      </c>
    </row>
    <row r="35" spans="1:14" x14ac:dyDescent="0.25">
      <c r="A35" t="s">
        <v>248</v>
      </c>
      <c r="J35">
        <v>2496.9583333333335</v>
      </c>
      <c r="L35">
        <v>1396.2777777777781</v>
      </c>
      <c r="M35">
        <v>2556.7916666666665</v>
      </c>
      <c r="N35">
        <v>1479.0833333333333</v>
      </c>
    </row>
    <row r="36" spans="1:14" x14ac:dyDescent="0.25">
      <c r="A36" t="s">
        <v>249</v>
      </c>
      <c r="J36">
        <v>2496.9583333333335</v>
      </c>
      <c r="L36">
        <v>1396.2777777777781</v>
      </c>
      <c r="M36">
        <v>2556.7916666666665</v>
      </c>
      <c r="N36">
        <v>1479.0833333333333</v>
      </c>
    </row>
    <row r="37" spans="1:14" x14ac:dyDescent="0.25">
      <c r="A37" t="s">
        <v>250</v>
      </c>
      <c r="J37">
        <v>2496.9583333333335</v>
      </c>
      <c r="L37">
        <v>1396.2777777777781</v>
      </c>
      <c r="M37">
        <v>2556.7916666666665</v>
      </c>
      <c r="N37">
        <v>1479.0833333333333</v>
      </c>
    </row>
    <row r="38" spans="1:14" x14ac:dyDescent="0.25">
      <c r="A38" t="s">
        <v>251</v>
      </c>
      <c r="J38">
        <v>2496.9583333333335</v>
      </c>
      <c r="L38">
        <v>1396.2777777777781</v>
      </c>
      <c r="M38">
        <v>2556.7916666666665</v>
      </c>
      <c r="N38">
        <v>1479.0833333333333</v>
      </c>
    </row>
    <row r="39" spans="1:14" x14ac:dyDescent="0.25">
      <c r="A39" t="s">
        <v>252</v>
      </c>
      <c r="J39">
        <v>2496.9583333333335</v>
      </c>
      <c r="L39">
        <v>1396.2777777777781</v>
      </c>
      <c r="M39">
        <v>2556.7916666666665</v>
      </c>
      <c r="N39">
        <v>1479.0833333333333</v>
      </c>
    </row>
    <row r="40" spans="1:14" x14ac:dyDescent="0.25">
      <c r="A40" t="s">
        <v>253</v>
      </c>
      <c r="J40">
        <v>2496.9583333333335</v>
      </c>
      <c r="L40">
        <v>1396.2777777777781</v>
      </c>
      <c r="M40">
        <v>2556.7916666666665</v>
      </c>
      <c r="N40">
        <v>1479.0833333333333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G25" sqref="G25"/>
    </sheetView>
  </sheetViews>
  <sheetFormatPr defaultRowHeight="15" x14ac:dyDescent="0.25"/>
  <cols>
    <col min="1" max="1" width="18.42578125" customWidth="1"/>
    <col min="2" max="2" width="18.140625" bestFit="1" customWidth="1"/>
    <col min="3" max="3" width="24" bestFit="1" customWidth="1"/>
    <col min="4" max="4" width="14.7109375" bestFit="1" customWidth="1"/>
  </cols>
  <sheetData>
    <row r="1" spans="1:4" x14ac:dyDescent="0.25">
      <c r="A1" t="s">
        <v>273</v>
      </c>
      <c r="B1" t="s">
        <v>41</v>
      </c>
      <c r="C1" t="s">
        <v>274</v>
      </c>
      <c r="D1" t="s">
        <v>275</v>
      </c>
    </row>
    <row r="2" spans="1:4" x14ac:dyDescent="0.25">
      <c r="A2" s="49" t="s">
        <v>114</v>
      </c>
      <c r="B2" s="49" t="s">
        <v>265</v>
      </c>
      <c r="C2">
        <v>2121</v>
      </c>
      <c r="D2" s="13">
        <v>186731.39</v>
      </c>
    </row>
    <row r="3" spans="1:4" x14ac:dyDescent="0.25">
      <c r="A3" s="49" t="s">
        <v>276</v>
      </c>
      <c r="B3" s="49" t="s">
        <v>213</v>
      </c>
      <c r="C3">
        <v>1512</v>
      </c>
      <c r="D3" s="13">
        <v>168649.44</v>
      </c>
    </row>
    <row r="4" spans="1:4" x14ac:dyDescent="0.25">
      <c r="A4" s="49" t="s">
        <v>277</v>
      </c>
      <c r="B4" s="49" t="s">
        <v>345</v>
      </c>
      <c r="C4">
        <v>2455</v>
      </c>
      <c r="D4" s="13">
        <v>152022.79</v>
      </c>
    </row>
    <row r="5" spans="1:4" x14ac:dyDescent="0.25">
      <c r="A5" s="49" t="s">
        <v>171</v>
      </c>
      <c r="B5" s="49" t="s">
        <v>214</v>
      </c>
      <c r="C5">
        <v>1369</v>
      </c>
      <c r="D5" s="13">
        <v>127151.66</v>
      </c>
    </row>
    <row r="6" spans="1:4" x14ac:dyDescent="0.25">
      <c r="A6" s="49" t="s">
        <v>278</v>
      </c>
      <c r="B6" s="49" t="s">
        <v>210</v>
      </c>
      <c r="C6">
        <v>981</v>
      </c>
      <c r="D6" s="13">
        <v>111096.19</v>
      </c>
    </row>
    <row r="7" spans="1:4" x14ac:dyDescent="0.25">
      <c r="A7" s="49" t="s">
        <v>279</v>
      </c>
      <c r="B7" s="49" t="s">
        <v>213</v>
      </c>
      <c r="C7">
        <v>1010</v>
      </c>
      <c r="D7" s="13">
        <v>110806.69</v>
      </c>
    </row>
    <row r="8" spans="1:4" x14ac:dyDescent="0.25">
      <c r="A8" s="49" t="s">
        <v>53</v>
      </c>
      <c r="B8" s="49" t="s">
        <v>210</v>
      </c>
      <c r="C8">
        <v>713</v>
      </c>
      <c r="D8" s="13">
        <v>79216.850000000006</v>
      </c>
    </row>
    <row r="9" spans="1:4" x14ac:dyDescent="0.25">
      <c r="A9" s="49" t="s">
        <v>280</v>
      </c>
      <c r="B9" s="49" t="s">
        <v>211</v>
      </c>
      <c r="C9">
        <v>776</v>
      </c>
      <c r="D9" s="13">
        <v>74876.479999999996</v>
      </c>
    </row>
    <row r="10" spans="1:4" x14ac:dyDescent="0.25">
      <c r="A10" s="49" t="s">
        <v>281</v>
      </c>
      <c r="B10" s="49" t="s">
        <v>265</v>
      </c>
      <c r="C10">
        <v>452</v>
      </c>
      <c r="D10" s="13">
        <v>74043.95</v>
      </c>
    </row>
    <row r="11" spans="1:4" x14ac:dyDescent="0.25">
      <c r="A11" s="49" t="s">
        <v>282</v>
      </c>
      <c r="B11" s="49" t="s">
        <v>210</v>
      </c>
      <c r="C11">
        <v>1062</v>
      </c>
      <c r="D11" s="13">
        <v>49722.77</v>
      </c>
    </row>
    <row r="12" spans="1:4" x14ac:dyDescent="0.25">
      <c r="A12" s="49" t="s">
        <v>283</v>
      </c>
      <c r="B12" s="49" t="s">
        <v>265</v>
      </c>
      <c r="C12">
        <v>385</v>
      </c>
      <c r="D12" s="13">
        <v>49289.71</v>
      </c>
    </row>
    <row r="13" spans="1:4" x14ac:dyDescent="0.25">
      <c r="A13" s="49" t="s">
        <v>284</v>
      </c>
      <c r="B13" s="49" t="s">
        <v>265</v>
      </c>
      <c r="C13">
        <v>544</v>
      </c>
      <c r="D13" s="13">
        <v>47839.1</v>
      </c>
    </row>
    <row r="14" spans="1:4" x14ac:dyDescent="0.25">
      <c r="A14" s="49" t="s">
        <v>285</v>
      </c>
      <c r="B14" s="49" t="s">
        <v>210</v>
      </c>
      <c r="C14">
        <v>397</v>
      </c>
      <c r="D14" s="13">
        <v>39445.64</v>
      </c>
    </row>
    <row r="15" spans="1:4" x14ac:dyDescent="0.25">
      <c r="A15" s="48" t="s">
        <v>286</v>
      </c>
      <c r="B15" s="48" t="s">
        <v>208</v>
      </c>
      <c r="C15">
        <v>335</v>
      </c>
      <c r="D15" s="13">
        <v>38407.89</v>
      </c>
    </row>
    <row r="16" spans="1:4" x14ac:dyDescent="0.25">
      <c r="A16" s="49" t="s">
        <v>287</v>
      </c>
      <c r="B16" s="49" t="s">
        <v>211</v>
      </c>
      <c r="C16">
        <v>320</v>
      </c>
      <c r="D16" s="13">
        <v>29629.279999999999</v>
      </c>
    </row>
    <row r="17" spans="1:4" x14ac:dyDescent="0.25">
      <c r="A17" s="49" t="s">
        <v>288</v>
      </c>
      <c r="B17" s="49" t="s">
        <v>210</v>
      </c>
      <c r="C17">
        <v>528</v>
      </c>
      <c r="D17" s="13">
        <v>29272.01</v>
      </c>
    </row>
    <row r="18" spans="1:4" x14ac:dyDescent="0.25">
      <c r="A18" s="49" t="s">
        <v>289</v>
      </c>
      <c r="B18" s="49" t="s">
        <v>210</v>
      </c>
      <c r="C18">
        <v>271</v>
      </c>
      <c r="D18" s="13">
        <v>22535.86</v>
      </c>
    </row>
    <row r="19" spans="1:4" x14ac:dyDescent="0.25">
      <c r="A19" s="48" t="s">
        <v>290</v>
      </c>
      <c r="B19" s="48" t="s">
        <v>211</v>
      </c>
      <c r="C19">
        <v>151</v>
      </c>
      <c r="D19" s="13">
        <v>16787.25</v>
      </c>
    </row>
    <row r="20" spans="1:4" x14ac:dyDescent="0.25">
      <c r="A20" s="48" t="s">
        <v>291</v>
      </c>
      <c r="B20" s="48" t="s">
        <v>213</v>
      </c>
      <c r="C20">
        <v>750</v>
      </c>
      <c r="D20" s="13">
        <v>10914.88</v>
      </c>
    </row>
    <row r="21" spans="1:4" x14ac:dyDescent="0.25">
      <c r="A21" s="48" t="s">
        <v>292</v>
      </c>
      <c r="B21" s="48" t="s">
        <v>210</v>
      </c>
      <c r="C21">
        <v>297</v>
      </c>
      <c r="D21" s="13">
        <v>10123.42</v>
      </c>
    </row>
    <row r="22" spans="1:4" x14ac:dyDescent="0.25">
      <c r="A22" s="48" t="s">
        <v>293</v>
      </c>
      <c r="B22" s="48" t="s">
        <v>213</v>
      </c>
      <c r="C22">
        <v>519</v>
      </c>
      <c r="D22" s="13">
        <v>6018.33</v>
      </c>
    </row>
    <row r="23" spans="1:4" x14ac:dyDescent="0.25">
      <c r="A23" s="48" t="s">
        <v>294</v>
      </c>
      <c r="B23" s="48" t="s">
        <v>210</v>
      </c>
      <c r="C23">
        <v>96</v>
      </c>
      <c r="D23" s="13">
        <v>4295.26</v>
      </c>
    </row>
    <row r="24" spans="1:4" x14ac:dyDescent="0.25">
      <c r="A24" t="s">
        <v>346</v>
      </c>
      <c r="B24" t="s">
        <v>214</v>
      </c>
      <c r="D24" s="50"/>
    </row>
    <row r="25" spans="1:4" x14ac:dyDescent="0.25">
      <c r="A25" t="s">
        <v>360</v>
      </c>
      <c r="B25" t="s">
        <v>210</v>
      </c>
      <c r="D25" s="50"/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3"/>
  <sheetViews>
    <sheetView workbookViewId="0">
      <selection activeCell="A6" sqref="A6"/>
    </sheetView>
  </sheetViews>
  <sheetFormatPr defaultRowHeight="15" x14ac:dyDescent="0.25"/>
  <cols>
    <col min="1" max="1" width="37.5703125" bestFit="1" customWidth="1"/>
    <col min="2" max="4" width="15.7109375" bestFit="1" customWidth="1"/>
    <col min="5" max="40" width="17.42578125" bestFit="1" customWidth="1"/>
  </cols>
  <sheetData>
    <row r="1" spans="1:40" x14ac:dyDescent="0.25">
      <c r="A1" t="s">
        <v>300</v>
      </c>
      <c r="B1" s="15" t="s">
        <v>215</v>
      </c>
      <c r="C1" s="15" t="s">
        <v>216</v>
      </c>
      <c r="D1" s="15" t="s">
        <v>217</v>
      </c>
      <c r="E1" s="15" t="s">
        <v>218</v>
      </c>
      <c r="F1" s="15" t="s">
        <v>219</v>
      </c>
      <c r="G1" s="15" t="s">
        <v>220</v>
      </c>
      <c r="H1" s="15" t="s">
        <v>221</v>
      </c>
      <c r="I1" s="15" t="s">
        <v>222</v>
      </c>
      <c r="J1" s="15" t="s">
        <v>223</v>
      </c>
      <c r="K1" s="15" t="s">
        <v>224</v>
      </c>
      <c r="L1" s="15" t="s">
        <v>225</v>
      </c>
      <c r="M1" s="15" t="s">
        <v>226</v>
      </c>
      <c r="N1" s="15" t="s">
        <v>227</v>
      </c>
      <c r="O1" s="15" t="s">
        <v>228</v>
      </c>
      <c r="P1" s="15" t="s">
        <v>229</v>
      </c>
      <c r="Q1" s="15" t="s">
        <v>230</v>
      </c>
      <c r="R1" s="15" t="s">
        <v>231</v>
      </c>
      <c r="S1" s="15" t="s">
        <v>232</v>
      </c>
      <c r="T1" s="15" t="s">
        <v>233</v>
      </c>
      <c r="U1" s="15" t="s">
        <v>234</v>
      </c>
      <c r="V1" s="15" t="s">
        <v>235</v>
      </c>
      <c r="W1" s="15" t="s">
        <v>236</v>
      </c>
      <c r="X1" s="15" t="s">
        <v>237</v>
      </c>
      <c r="Y1" s="15" t="s">
        <v>238</v>
      </c>
      <c r="Z1" s="15" t="s">
        <v>239</v>
      </c>
      <c r="AA1" s="15" t="s">
        <v>240</v>
      </c>
      <c r="AB1" s="15" t="s">
        <v>241</v>
      </c>
      <c r="AC1" s="15" t="s">
        <v>242</v>
      </c>
      <c r="AD1" s="15" t="s">
        <v>243</v>
      </c>
      <c r="AE1" s="15" t="s">
        <v>244</v>
      </c>
      <c r="AF1" s="15" t="s">
        <v>245</v>
      </c>
      <c r="AG1" s="15" t="s">
        <v>246</v>
      </c>
      <c r="AH1" s="15" t="s">
        <v>247</v>
      </c>
      <c r="AI1" s="15" t="s">
        <v>248</v>
      </c>
      <c r="AJ1" s="15" t="s">
        <v>249</v>
      </c>
      <c r="AK1" s="15" t="s">
        <v>250</v>
      </c>
      <c r="AL1" s="15" t="s">
        <v>251</v>
      </c>
      <c r="AM1" s="15" t="s">
        <v>252</v>
      </c>
      <c r="AN1" s="15" t="s">
        <v>253</v>
      </c>
    </row>
    <row r="2" spans="1:40" x14ac:dyDescent="0.25">
      <c r="A2" t="s">
        <v>202</v>
      </c>
      <c r="B2" s="13">
        <v>361738.25347014371</v>
      </c>
      <c r="C2" s="13">
        <v>361738.25347014371</v>
      </c>
      <c r="D2" s="13">
        <v>361738.25347014371</v>
      </c>
      <c r="E2" s="13">
        <v>542607.38020521554</v>
      </c>
      <c r="F2" s="13">
        <v>542607.38020521554</v>
      </c>
      <c r="G2" s="13">
        <v>542607.38020521554</v>
      </c>
      <c r="H2" s="13">
        <v>542607.38020521554</v>
      </c>
      <c r="I2" s="13">
        <v>542607.38020521554</v>
      </c>
      <c r="J2" s="13">
        <v>542607.38020521554</v>
      </c>
      <c r="K2" s="13">
        <v>542607.38020521554</v>
      </c>
      <c r="L2" s="13">
        <v>542607.38020521554</v>
      </c>
      <c r="M2" s="13">
        <v>567432.55446297047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3" spans="1:40" x14ac:dyDescent="0.25">
      <c r="A3" t="s">
        <v>202</v>
      </c>
      <c r="B3" s="13"/>
      <c r="C3" s="13"/>
      <c r="D3" s="13"/>
      <c r="E3" s="13">
        <v>125009.7563793</v>
      </c>
      <c r="F3" s="13">
        <v>125009.7563793</v>
      </c>
      <c r="G3" s="13">
        <v>125009.7563793</v>
      </c>
      <c r="H3" s="13">
        <v>125009.7563793</v>
      </c>
      <c r="I3" s="13">
        <v>125009.7563793</v>
      </c>
      <c r="J3" s="13">
        <v>125009.7563793</v>
      </c>
      <c r="K3" s="13">
        <v>125009.7563793</v>
      </c>
      <c r="L3" s="13">
        <v>125009.7563793</v>
      </c>
      <c r="M3" s="13">
        <v>125009.7563793</v>
      </c>
      <c r="N3" s="13">
        <v>125009.7563793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</row>
    <row r="4" spans="1:40" x14ac:dyDescent="0.25">
      <c r="A4" t="s">
        <v>202</v>
      </c>
      <c r="B4" s="13"/>
      <c r="C4" s="13"/>
      <c r="D4" s="13"/>
      <c r="E4" s="13">
        <v>88331.862430900001</v>
      </c>
      <c r="F4" s="13"/>
      <c r="G4" s="13"/>
      <c r="H4" s="13"/>
      <c r="I4" s="13"/>
      <c r="J4" s="13"/>
      <c r="K4" s="13">
        <v>104864.56395540001</v>
      </c>
      <c r="L4" s="13">
        <v>105336.92685610001</v>
      </c>
      <c r="M4" s="13">
        <v>92110.7656365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</row>
    <row r="5" spans="1:40" x14ac:dyDescent="0.25">
      <c r="A5" t="s">
        <v>202</v>
      </c>
      <c r="B5" s="13">
        <v>77177.291643300006</v>
      </c>
      <c r="C5" s="13">
        <v>77177.291643300006</v>
      </c>
      <c r="D5" s="13">
        <v>77177.291643300006</v>
      </c>
      <c r="E5" s="13">
        <v>77177.291643300006</v>
      </c>
      <c r="F5" s="13">
        <v>154354.58328660001</v>
      </c>
      <c r="G5" s="13">
        <v>154354.58328660001</v>
      </c>
      <c r="H5" s="13">
        <v>154354.58328660001</v>
      </c>
      <c r="I5" s="13">
        <v>154354.58328660001</v>
      </c>
      <c r="J5" s="13">
        <v>154354.58328660001</v>
      </c>
      <c r="K5" s="13">
        <v>77177.291643300006</v>
      </c>
      <c r="L5" s="13">
        <v>77177.291643300006</v>
      </c>
      <c r="M5" s="13">
        <v>77177.291643300006</v>
      </c>
      <c r="N5" s="13">
        <v>149814.74260170001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 spans="1:40" x14ac:dyDescent="0.25">
      <c r="A6" t="s">
        <v>203</v>
      </c>
      <c r="B6" s="13">
        <v>361738.25347014371</v>
      </c>
      <c r="C6" s="13">
        <v>361738.25347014371</v>
      </c>
      <c r="D6" s="13">
        <v>361738.25347014371</v>
      </c>
      <c r="E6" s="13">
        <v>361738.25347014371</v>
      </c>
      <c r="F6" s="13">
        <v>361738.25347014371</v>
      </c>
      <c r="G6" s="13">
        <v>361738.25347014371</v>
      </c>
      <c r="H6" s="13">
        <v>361738.25347014371</v>
      </c>
      <c r="I6" s="13">
        <v>361738.25347014371</v>
      </c>
      <c r="J6" s="13">
        <v>326273.71881620807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spans="1:40" x14ac:dyDescent="0.25">
      <c r="A7" t="s">
        <v>203</v>
      </c>
      <c r="B7" s="13"/>
      <c r="C7" s="13"/>
      <c r="D7" s="13"/>
      <c r="E7" s="13"/>
      <c r="F7" s="13"/>
      <c r="G7" s="13">
        <v>125009.7563793</v>
      </c>
      <c r="H7" s="13">
        <v>125009.7563793</v>
      </c>
      <c r="I7" s="13">
        <v>125009.7563793</v>
      </c>
      <c r="J7" s="13">
        <v>125009.7563793</v>
      </c>
      <c r="K7" s="13">
        <v>125009.7563793</v>
      </c>
      <c r="L7" s="13">
        <v>125009.7563793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x14ac:dyDescent="0.25">
      <c r="A8" t="s">
        <v>203</v>
      </c>
      <c r="B8" s="13"/>
      <c r="C8" s="13"/>
      <c r="D8" s="13"/>
      <c r="E8" s="13"/>
      <c r="F8" s="13"/>
      <c r="G8" s="13"/>
      <c r="H8" s="13">
        <v>51251.374725950001</v>
      </c>
      <c r="I8" s="13"/>
      <c r="J8" s="13">
        <v>51251.374725950001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</row>
    <row r="9" spans="1:40" x14ac:dyDescent="0.25">
      <c r="A9" t="s">
        <v>203</v>
      </c>
      <c r="B9" s="13">
        <v>51451.527762199999</v>
      </c>
      <c r="C9" s="13">
        <v>51451.527762199999</v>
      </c>
      <c r="D9" s="13">
        <v>51451.527762199999</v>
      </c>
      <c r="E9" s="13">
        <v>154354.58328660001</v>
      </c>
      <c r="F9" s="13">
        <v>102903.0555244</v>
      </c>
      <c r="G9" s="13">
        <v>154354.58328660001</v>
      </c>
      <c r="H9" s="13">
        <v>102903.0555244</v>
      </c>
      <c r="I9" s="13">
        <v>116522.57757910001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 spans="1:40" x14ac:dyDescent="0.25">
      <c r="A10" t="s">
        <v>301</v>
      </c>
      <c r="B10" s="13">
        <v>180869.12673507186</v>
      </c>
      <c r="C10" s="13">
        <v>180869.12673507186</v>
      </c>
      <c r="D10" s="13">
        <v>180869.12673507186</v>
      </c>
      <c r="E10" s="13">
        <v>361738.25347014371</v>
      </c>
      <c r="F10" s="13">
        <v>361738.25347014371</v>
      </c>
      <c r="G10" s="13">
        <v>361738.25347014371</v>
      </c>
      <c r="H10" s="13">
        <v>361738.25347014371</v>
      </c>
      <c r="I10" s="13">
        <v>361738.25347014371</v>
      </c>
      <c r="J10" s="13">
        <v>361738.25347014371</v>
      </c>
      <c r="K10" s="13">
        <v>361738.25347014371</v>
      </c>
      <c r="L10" s="13">
        <v>361738.25347014371</v>
      </c>
      <c r="M10" s="13">
        <v>361738.25347014371</v>
      </c>
      <c r="N10" s="13">
        <v>361738.25347014371</v>
      </c>
      <c r="O10" s="13">
        <v>723476.50694028742</v>
      </c>
      <c r="P10" s="13">
        <v>641908.07723623537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spans="1:40" x14ac:dyDescent="0.25">
      <c r="A11" t="s">
        <v>301</v>
      </c>
      <c r="B11" s="13"/>
      <c r="C11" s="13"/>
      <c r="D11" s="13"/>
      <c r="E11" s="13"/>
      <c r="F11" s="13">
        <v>250019.5127586</v>
      </c>
      <c r="G11" s="13">
        <v>250019.5127586</v>
      </c>
      <c r="H11" s="13">
        <v>250019.5127586</v>
      </c>
      <c r="I11" s="13">
        <v>250019.5127586</v>
      </c>
      <c r="J11" s="13">
        <v>250019.5127586</v>
      </c>
      <c r="K11" s="13">
        <v>250019.5127586</v>
      </c>
      <c r="L11" s="13">
        <v>250019.5127586</v>
      </c>
      <c r="M11" s="13">
        <v>250019.5127586</v>
      </c>
      <c r="N11" s="13">
        <v>250019.5127586</v>
      </c>
      <c r="O11" s="13">
        <v>250019.5127586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spans="1:40" x14ac:dyDescent="0.25">
      <c r="A12" t="s">
        <v>301</v>
      </c>
      <c r="B12" s="13"/>
      <c r="C12" s="13"/>
      <c r="D12" s="13"/>
      <c r="E12" s="13"/>
      <c r="F12" s="13"/>
      <c r="G12" s="13"/>
      <c r="H12" s="13">
        <v>128246.52754005</v>
      </c>
      <c r="I12" s="13"/>
      <c r="J12" s="13"/>
      <c r="K12" s="13"/>
      <c r="L12" s="13"/>
      <c r="M12" s="13"/>
      <c r="N12" s="13"/>
      <c r="O12" s="13"/>
      <c r="P12" s="13">
        <v>128246.52754005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x14ac:dyDescent="0.25">
      <c r="A13" t="s">
        <v>301</v>
      </c>
      <c r="B13" s="13">
        <v>51451.527762199999</v>
      </c>
      <c r="C13" s="13">
        <v>51451.527762199999</v>
      </c>
      <c r="D13" s="13">
        <v>51451.527762199999</v>
      </c>
      <c r="E13" s="13">
        <v>154354.58328660001</v>
      </c>
      <c r="F13" s="13">
        <v>154354.58328660001</v>
      </c>
      <c r="G13" s="13">
        <v>154354.58328660001</v>
      </c>
      <c r="H13" s="13">
        <v>102903.0555244</v>
      </c>
      <c r="I13" s="13">
        <v>154354.58328660001</v>
      </c>
      <c r="J13" s="13">
        <v>154354.58328660001</v>
      </c>
      <c r="K13" s="13">
        <v>102903.0555244</v>
      </c>
      <c r="L13" s="13">
        <v>102903.0555244</v>
      </c>
      <c r="M13" s="13">
        <v>102903.0555244</v>
      </c>
      <c r="N13" s="13">
        <v>102903.0555244</v>
      </c>
      <c r="O13" s="13">
        <v>77177.291643300006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1:40" x14ac:dyDescent="0.25">
      <c r="A14" t="s">
        <v>205</v>
      </c>
      <c r="B14" s="13">
        <v>542607.38020521554</v>
      </c>
      <c r="C14" s="13">
        <v>542607.38020521554</v>
      </c>
      <c r="D14" s="13">
        <v>542607.38020521554</v>
      </c>
      <c r="E14" s="13">
        <v>542607.38020521554</v>
      </c>
      <c r="F14" s="13">
        <v>542607.38020521554</v>
      </c>
      <c r="G14" s="13">
        <v>542607.38020521554</v>
      </c>
      <c r="H14" s="13">
        <v>542607.38020521554</v>
      </c>
      <c r="I14" s="13">
        <v>542607.38020521554</v>
      </c>
      <c r="J14" s="13">
        <v>542607.38020521554</v>
      </c>
      <c r="K14" s="13">
        <v>542607.38020521554</v>
      </c>
      <c r="L14" s="13">
        <v>542607.38020521554</v>
      </c>
      <c r="M14" s="13">
        <v>723476.50694028742</v>
      </c>
      <c r="N14" s="13">
        <v>723476.50694028742</v>
      </c>
      <c r="O14" s="13">
        <v>723476.50694028742</v>
      </c>
      <c r="P14" s="13">
        <v>723476.50694028742</v>
      </c>
      <c r="Q14" s="13">
        <v>723476.50694028742</v>
      </c>
      <c r="R14" s="13">
        <v>723476.50694028742</v>
      </c>
      <c r="S14" s="13">
        <v>723476.50694028742</v>
      </c>
      <c r="T14" s="13">
        <v>723476.50694028742</v>
      </c>
      <c r="U14" s="13">
        <v>723476.50694028742</v>
      </c>
      <c r="V14" s="13">
        <v>803271.7099116426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spans="1:40" x14ac:dyDescent="0.25">
      <c r="A15" t="s">
        <v>205</v>
      </c>
      <c r="B15" s="13"/>
      <c r="C15" s="13"/>
      <c r="D15" s="13"/>
      <c r="E15" s="13"/>
      <c r="F15" s="13"/>
      <c r="G15" s="13"/>
      <c r="H15" s="13"/>
      <c r="I15" s="13">
        <v>125009.7563793</v>
      </c>
      <c r="J15" s="13">
        <v>125009.7563793</v>
      </c>
      <c r="K15" s="13">
        <v>125009.7563793</v>
      </c>
      <c r="L15" s="13">
        <v>125009.7563793</v>
      </c>
      <c r="M15" s="13">
        <v>125009.7563793</v>
      </c>
      <c r="N15" s="13">
        <v>125009.7563793</v>
      </c>
      <c r="O15" s="13">
        <v>125009.7563793</v>
      </c>
      <c r="P15" s="13">
        <v>125009.7563793</v>
      </c>
      <c r="Q15" s="13"/>
      <c r="R15" s="13">
        <v>125009.7563793</v>
      </c>
      <c r="S15" s="13">
        <v>125009.7563793</v>
      </c>
      <c r="T15" s="13">
        <v>125009.7563793</v>
      </c>
      <c r="U15" s="13">
        <v>125009.7563793</v>
      </c>
      <c r="V15" s="13">
        <v>125009.7563793</v>
      </c>
      <c r="W15" s="13">
        <v>125009.7563793</v>
      </c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x14ac:dyDescent="0.25">
      <c r="A16" t="s">
        <v>205</v>
      </c>
      <c r="B16" s="13"/>
      <c r="C16" s="13"/>
      <c r="D16" s="13"/>
      <c r="E16" s="13"/>
      <c r="F16" s="13"/>
      <c r="G16" s="13"/>
      <c r="H16" s="13"/>
      <c r="I16" s="13"/>
      <c r="J16" s="13">
        <v>144543.04761420001</v>
      </c>
      <c r="K16" s="13"/>
      <c r="L16" s="13"/>
      <c r="M16" s="13"/>
      <c r="N16" s="13">
        <v>144543.04761420001</v>
      </c>
      <c r="O16" s="13"/>
      <c r="P16" s="13">
        <v>224844.74073320001</v>
      </c>
      <c r="Q16" s="13"/>
      <c r="R16" s="13"/>
      <c r="S16" s="13"/>
      <c r="T16" s="13"/>
      <c r="U16" s="13"/>
      <c r="V16" s="13"/>
      <c r="W16" s="13">
        <v>144543.04761420001</v>
      </c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x14ac:dyDescent="0.25">
      <c r="A17" t="s">
        <v>205</v>
      </c>
      <c r="B17" s="13">
        <v>154354.58328660001</v>
      </c>
      <c r="C17" s="13">
        <v>154354.58328660001</v>
      </c>
      <c r="D17" s="13">
        <v>154354.58328660001</v>
      </c>
      <c r="E17" s="13">
        <v>154354.58328660001</v>
      </c>
      <c r="F17" s="13">
        <v>154354.58328660001</v>
      </c>
      <c r="G17" s="13">
        <v>154354.58328660001</v>
      </c>
      <c r="H17" s="13">
        <v>154354.58328660001</v>
      </c>
      <c r="I17" s="13">
        <v>154354.58328660001</v>
      </c>
      <c r="J17" s="13">
        <v>154354.58328660001</v>
      </c>
      <c r="K17" s="13">
        <v>154354.58328660001</v>
      </c>
      <c r="L17" s="13">
        <v>154354.58328660001</v>
      </c>
      <c r="M17" s="13">
        <v>154354.58328660001</v>
      </c>
      <c r="N17" s="13">
        <v>154354.58328660001</v>
      </c>
      <c r="O17" s="13">
        <v>154354.58328660001</v>
      </c>
      <c r="P17" s="13">
        <v>154354.58328660001</v>
      </c>
      <c r="Q17" s="13">
        <v>154354.58328660001</v>
      </c>
      <c r="R17" s="13">
        <v>154354.58328660001</v>
      </c>
      <c r="S17" s="13">
        <v>154354.58328660001</v>
      </c>
      <c r="T17" s="13">
        <v>154354.58328660001</v>
      </c>
      <c r="U17" s="13">
        <v>154354.58328660001</v>
      </c>
      <c r="V17" s="13">
        <v>151328.02283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 spans="1:40" x14ac:dyDescent="0.25">
      <c r="A18" t="s">
        <v>206</v>
      </c>
      <c r="B18" s="13"/>
      <c r="C18" s="13"/>
      <c r="D18" s="13"/>
      <c r="E18" s="13"/>
      <c r="F18" s="13"/>
      <c r="G18" s="13"/>
      <c r="H18" s="13"/>
      <c r="I18" s="13"/>
      <c r="J18" s="13"/>
      <c r="K18" s="13">
        <v>1177644.2038522509</v>
      </c>
      <c r="L18" s="13">
        <v>1177644.2038522509</v>
      </c>
      <c r="M18" s="13">
        <v>1177644.2038522509</v>
      </c>
      <c r="N18" s="13">
        <v>1177644.2038522509</v>
      </c>
      <c r="O18" s="13">
        <v>1177644.2038522509</v>
      </c>
      <c r="P18" s="13">
        <v>1177644.2038522509</v>
      </c>
      <c r="Q18" s="13">
        <v>1177644.2038522509</v>
      </c>
      <c r="R18" s="13">
        <v>1177644.2038522509</v>
      </c>
      <c r="S18" s="13">
        <v>1177644.2038522509</v>
      </c>
      <c r="T18" s="13">
        <v>1177644.2038522509</v>
      </c>
      <c r="U18" s="13">
        <v>1177644.2038522509</v>
      </c>
      <c r="V18" s="13">
        <v>1177644.2038522509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 spans="1:40" x14ac:dyDescent="0.25">
      <c r="A19" t="s">
        <v>206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>
        <v>125009.7563793</v>
      </c>
      <c r="P19" s="13">
        <v>125009.7563793</v>
      </c>
      <c r="Q19" s="13">
        <v>125009.7563793</v>
      </c>
      <c r="R19" s="13">
        <v>125009.7563793</v>
      </c>
      <c r="S19" s="13">
        <v>125009.7563793</v>
      </c>
      <c r="T19" s="13">
        <v>125009.7563793</v>
      </c>
      <c r="U19" s="13">
        <v>125009.7563793</v>
      </c>
      <c r="V19" s="13">
        <v>125009.7563793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 spans="1:40" x14ac:dyDescent="0.25">
      <c r="A20" t="s">
        <v>206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>
        <v>169473.3118178111</v>
      </c>
      <c r="O20" s="13">
        <v>169473.3118178111</v>
      </c>
      <c r="P20" s="13">
        <v>169473.3118178111</v>
      </c>
      <c r="Q20" s="13">
        <v>169473.31181781113</v>
      </c>
      <c r="R20" s="13">
        <v>169473.31181781113</v>
      </c>
      <c r="S20" s="13">
        <v>169473.31181781113</v>
      </c>
      <c r="T20" s="13">
        <v>169473.31181781113</v>
      </c>
      <c r="U20" s="13">
        <v>169473.31181781113</v>
      </c>
      <c r="V20" s="13">
        <v>169473.31181781113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</row>
    <row r="21" spans="1:40" x14ac:dyDescent="0.25">
      <c r="A21" t="s">
        <v>206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>
        <v>47516.999168620001</v>
      </c>
      <c r="N21" s="13">
        <v>47516.999168620001</v>
      </c>
      <c r="O21" s="13">
        <v>47516.999168620001</v>
      </c>
      <c r="P21" s="13">
        <v>47516.999168620001</v>
      </c>
      <c r="Q21" s="13">
        <v>47516.999168620008</v>
      </c>
      <c r="R21" s="13">
        <v>47516.999168620008</v>
      </c>
      <c r="S21" s="13">
        <v>47516.999168620008</v>
      </c>
      <c r="T21" s="13">
        <v>47516.999168620008</v>
      </c>
      <c r="U21" s="13">
        <v>47516.999168620008</v>
      </c>
      <c r="V21" s="13">
        <v>47516.999168620008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 spans="1:40" x14ac:dyDescent="0.25">
      <c r="A22" t="s">
        <v>310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>
        <v>152275.84567033622</v>
      </c>
      <c r="N22" s="13">
        <v>152275.84567033622</v>
      </c>
      <c r="O22" s="13">
        <v>152275.84567033622</v>
      </c>
      <c r="P22" s="13">
        <v>152275.84567033622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 spans="1:40" x14ac:dyDescent="0.25">
      <c r="A23" t="s">
        <v>310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0" x14ac:dyDescent="0.25">
      <c r="A24" t="s">
        <v>310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1:40" x14ac:dyDescent="0.25">
      <c r="A25" t="s">
        <v>310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>
        <v>40858.566164100004</v>
      </c>
      <c r="P25" s="13">
        <v>40858.566164100004</v>
      </c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 spans="1:40" x14ac:dyDescent="0.25">
      <c r="A26" t="s">
        <v>311</v>
      </c>
      <c r="B26" s="13"/>
      <c r="C26" s="13"/>
      <c r="D26" s="13"/>
      <c r="E26" s="13">
        <v>259629.94744568728</v>
      </c>
      <c r="F26" s="13">
        <v>259629.94744568728</v>
      </c>
      <c r="G26" s="13">
        <v>259629.94744568728</v>
      </c>
      <c r="H26" s="13">
        <v>259629.94744568728</v>
      </c>
      <c r="I26" s="13">
        <v>259629.94744568728</v>
      </c>
      <c r="J26" s="13">
        <v>259629.94744568728</v>
      </c>
      <c r="K26" s="13">
        <v>259629.94744568728</v>
      </c>
      <c r="L26" s="13">
        <v>259629.94744568728</v>
      </c>
      <c r="M26" s="13">
        <v>259629.94744568728</v>
      </c>
      <c r="N26" s="13">
        <v>259629.94744568728</v>
      </c>
      <c r="O26" s="13">
        <v>259629.94744568728</v>
      </c>
      <c r="P26" s="13">
        <v>259629.94744568728</v>
      </c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:40" x14ac:dyDescent="0.25">
      <c r="A27" t="s">
        <v>311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>
        <v>125009.7563793</v>
      </c>
      <c r="P27" s="13">
        <v>125009.7563793</v>
      </c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1:40" x14ac:dyDescent="0.25">
      <c r="A28" t="s">
        <v>311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>
        <v>202643.6844003</v>
      </c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spans="1:40" x14ac:dyDescent="0.25">
      <c r="A29" t="s">
        <v>311</v>
      </c>
      <c r="B29" s="13"/>
      <c r="C29" s="13"/>
      <c r="D29" s="13"/>
      <c r="E29" s="13"/>
      <c r="F29" s="13"/>
      <c r="G29" s="13"/>
      <c r="H29" s="13">
        <v>46306.374985980008</v>
      </c>
      <c r="I29" s="13">
        <v>46306.374985980008</v>
      </c>
      <c r="J29" s="13">
        <v>46306.374985980008</v>
      </c>
      <c r="K29" s="13">
        <v>46306.374985980008</v>
      </c>
      <c r="L29" s="13">
        <v>46306.374985980008</v>
      </c>
      <c r="M29" s="13">
        <v>46306.374985980008</v>
      </c>
      <c r="N29" s="13">
        <v>46306.374985980008</v>
      </c>
      <c r="O29" s="13">
        <v>46306.374985980008</v>
      </c>
      <c r="P29" s="13">
        <v>51754.183807860027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 spans="1:40" x14ac:dyDescent="0.25">
      <c r="A30" t="s">
        <v>209</v>
      </c>
      <c r="B30" s="13"/>
      <c r="C30" s="13"/>
      <c r="D30" s="13"/>
      <c r="E30" s="13">
        <v>1446953.0138805748</v>
      </c>
      <c r="F30" s="13">
        <v>1446953.0138805748</v>
      </c>
      <c r="G30" s="13">
        <v>1446953.0138805748</v>
      </c>
      <c r="H30" s="13">
        <v>1446953.0138805748</v>
      </c>
      <c r="I30" s="13">
        <v>1446953.0138805748</v>
      </c>
      <c r="J30" s="13">
        <v>1446953.0138805748</v>
      </c>
      <c r="K30" s="13">
        <v>1446953.0138805748</v>
      </c>
      <c r="L30" s="13">
        <v>1446953.0138805748</v>
      </c>
      <c r="M30" s="13">
        <v>1446953.0138805748</v>
      </c>
      <c r="N30" s="13">
        <v>1627822.1406156467</v>
      </c>
      <c r="O30" s="13">
        <v>1627822.1406156467</v>
      </c>
      <c r="P30" s="13">
        <v>1718256.7039831826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 spans="1:40" x14ac:dyDescent="0.25">
      <c r="A31" t="s">
        <v>209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spans="1:40" x14ac:dyDescent="0.25">
      <c r="A32" t="s">
        <v>209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</row>
    <row r="33" spans="1:40" x14ac:dyDescent="0.25">
      <c r="A33" t="s">
        <v>209</v>
      </c>
      <c r="B33" s="13"/>
      <c r="C33" s="13"/>
      <c r="D33" s="13"/>
      <c r="E33" s="13"/>
      <c r="F33" s="13"/>
      <c r="G33" s="13">
        <v>257257.63881100001</v>
      </c>
      <c r="H33" s="13">
        <v>257257.63881100001</v>
      </c>
      <c r="I33" s="13">
        <v>257257.63881100001</v>
      </c>
      <c r="J33" s="13">
        <v>257257.63881100001</v>
      </c>
      <c r="K33" s="13">
        <v>257257.63881100001</v>
      </c>
      <c r="L33" s="13">
        <v>257257.63881100001</v>
      </c>
      <c r="M33" s="13">
        <v>257257.63881100001</v>
      </c>
      <c r="N33" s="13">
        <v>257257.63881100001</v>
      </c>
      <c r="O33" s="13">
        <v>257257.63881100001</v>
      </c>
      <c r="P33" s="13">
        <v>245151.39698460003</v>
      </c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 spans="1:40" x14ac:dyDescent="0.25">
      <c r="A34" t="s">
        <v>312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>
        <v>2213836.6335483356</v>
      </c>
      <c r="R34" s="13">
        <v>2213836.6335483356</v>
      </c>
      <c r="S34" s="13">
        <v>2213836.6335483356</v>
      </c>
      <c r="T34" s="13">
        <v>2213836.6335483356</v>
      </c>
      <c r="U34" s="13">
        <v>2213836.6335483356</v>
      </c>
      <c r="V34" s="13">
        <v>2213836.6335483356</v>
      </c>
      <c r="W34" s="13">
        <v>2213836.6335483356</v>
      </c>
      <c r="X34" s="13">
        <v>2213836.6335483356</v>
      </c>
      <c r="Y34" s="13">
        <v>2213836.6335483356</v>
      </c>
      <c r="Z34" s="13">
        <v>2213836.6335483356</v>
      </c>
      <c r="AA34" s="13">
        <v>2213836.6335483356</v>
      </c>
      <c r="AB34" s="13">
        <v>2213836.6335483356</v>
      </c>
      <c r="AC34" s="13">
        <v>2213836.6335483356</v>
      </c>
      <c r="AD34" s="13">
        <v>2213836.6335483356</v>
      </c>
      <c r="AE34" s="13">
        <v>2213836.6335483356</v>
      </c>
      <c r="AF34" s="13">
        <v>2213836.6335483356</v>
      </c>
      <c r="AG34" s="13">
        <v>2213836.6335483356</v>
      </c>
      <c r="AH34" s="13">
        <v>2213836.6335483356</v>
      </c>
      <c r="AI34" s="13">
        <v>2213836.6335483356</v>
      </c>
      <c r="AJ34" s="13">
        <v>2213836.6335483356</v>
      </c>
      <c r="AK34" s="13">
        <v>2213836.6335483356</v>
      </c>
      <c r="AL34" s="13">
        <v>2213836.6335483356</v>
      </c>
      <c r="AM34" s="13">
        <v>2213836.6335483356</v>
      </c>
      <c r="AN34" s="13">
        <v>2213836.6335483356</v>
      </c>
    </row>
    <row r="35" spans="1:40" x14ac:dyDescent="0.25">
      <c r="A35" t="s">
        <v>312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>
        <v>136374.27968650908</v>
      </c>
      <c r="S35" s="13">
        <v>136374.27968650908</v>
      </c>
      <c r="T35" s="13">
        <v>136374.27968650908</v>
      </c>
      <c r="U35" s="13">
        <v>136374.27968650908</v>
      </c>
      <c r="V35" s="13">
        <v>136374.27968650908</v>
      </c>
      <c r="W35" s="13">
        <v>136374.27968650908</v>
      </c>
      <c r="X35" s="13">
        <v>136374.27968650908</v>
      </c>
      <c r="Y35" s="13">
        <v>136374.27968650908</v>
      </c>
      <c r="Z35" s="13">
        <v>136374.27968650908</v>
      </c>
      <c r="AA35" s="13">
        <v>136374.27968650908</v>
      </c>
      <c r="AB35" s="13">
        <v>136374.27968650908</v>
      </c>
      <c r="AC35" s="13">
        <v>113645.23307209091</v>
      </c>
      <c r="AD35" s="13">
        <v>113645.23307209091</v>
      </c>
      <c r="AE35" s="13">
        <v>113645.23307209091</v>
      </c>
      <c r="AF35" s="13">
        <v>113645.23307209091</v>
      </c>
      <c r="AG35" s="13"/>
      <c r="AH35" s="13">
        <v>113645.23307209091</v>
      </c>
      <c r="AI35" s="13">
        <v>113645.23307209091</v>
      </c>
      <c r="AJ35" s="13">
        <v>113645.23307209091</v>
      </c>
      <c r="AK35" s="13">
        <v>113645.23307209091</v>
      </c>
      <c r="AL35" s="13">
        <v>113645.23307209091</v>
      </c>
      <c r="AM35" s="13">
        <v>113645.23307209091</v>
      </c>
      <c r="AN35" s="13">
        <v>113645.23307209091</v>
      </c>
    </row>
    <row r="36" spans="1:40" x14ac:dyDescent="0.25">
      <c r="A36" t="s">
        <v>312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>
        <v>598090.1594363167</v>
      </c>
      <c r="AA36" s="13">
        <v>598090.1594363167</v>
      </c>
      <c r="AB36" s="13">
        <v>598090.1594363167</v>
      </c>
      <c r="AC36" s="13">
        <v>598090.1594363167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>
        <v>598090.1594363167</v>
      </c>
      <c r="AN36" s="13">
        <v>598090.1594363167</v>
      </c>
    </row>
    <row r="37" spans="1:40" x14ac:dyDescent="0.25">
      <c r="A37" t="s">
        <v>312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>
        <v>262554.11961004999</v>
      </c>
      <c r="S37" s="13">
        <v>262554.11961004999</v>
      </c>
      <c r="T37" s="13">
        <v>262554.11961004999</v>
      </c>
      <c r="U37" s="13">
        <v>262554.11961004999</v>
      </c>
      <c r="V37" s="13">
        <v>262554.11961004999</v>
      </c>
      <c r="W37" s="13">
        <v>262554.11961004999</v>
      </c>
      <c r="X37" s="13">
        <v>262554.11961004999</v>
      </c>
      <c r="Y37" s="13">
        <v>262554.11961004999</v>
      </c>
      <c r="Z37" s="13">
        <v>262554.11961004999</v>
      </c>
      <c r="AA37" s="13">
        <v>262554.11961004999</v>
      </c>
      <c r="AB37" s="13">
        <v>262554.11961004999</v>
      </c>
      <c r="AC37" s="13">
        <v>240674.60964254584</v>
      </c>
      <c r="AD37" s="13">
        <v>240674.60964254584</v>
      </c>
      <c r="AE37" s="13">
        <v>240674.60964254584</v>
      </c>
      <c r="AF37" s="13">
        <v>240674.60964254584</v>
      </c>
      <c r="AG37" s="13">
        <v>240674.60964254584</v>
      </c>
      <c r="AH37" s="13">
        <v>240674.60964254584</v>
      </c>
      <c r="AI37" s="13">
        <v>240674.60964254584</v>
      </c>
      <c r="AJ37" s="13">
        <v>240674.60964254584</v>
      </c>
      <c r="AK37" s="13">
        <v>240674.60964254584</v>
      </c>
      <c r="AL37" s="13">
        <v>240674.60964254584</v>
      </c>
      <c r="AM37" s="13">
        <v>240674.60964254584</v>
      </c>
      <c r="AN37" s="13">
        <v>240674.60964254584</v>
      </c>
    </row>
    <row r="38" spans="1:40" x14ac:dyDescent="0.25">
      <c r="A38" t="s">
        <v>313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>
        <v>863265.88103455037</v>
      </c>
      <c r="U38" s="13">
        <v>863265.88103455037</v>
      </c>
      <c r="V38" s="13">
        <v>863265.88103455037</v>
      </c>
      <c r="W38" s="13">
        <v>863265.88103455037</v>
      </c>
      <c r="X38" s="13">
        <v>863265.88103455037</v>
      </c>
      <c r="Y38" s="13">
        <v>863265.88103455037</v>
      </c>
      <c r="Z38" s="13">
        <v>863265.88103455037</v>
      </c>
      <c r="AA38" s="13">
        <v>863265.88103455037</v>
      </c>
      <c r="AB38" s="13">
        <v>863265.88103455037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spans="1:40" x14ac:dyDescent="0.25">
      <c r="A39" t="s">
        <v>313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>
        <v>150011.70765515999</v>
      </c>
      <c r="Y39" s="13">
        <v>150011.70765515999</v>
      </c>
      <c r="Z39" s="13">
        <v>150011.70765515999</v>
      </c>
      <c r="AA39" s="13">
        <v>150011.70765515999</v>
      </c>
      <c r="AB39" s="13">
        <v>150011.70765515999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spans="1:40" x14ac:dyDescent="0.25">
      <c r="A40" t="s">
        <v>313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>
        <v>126238.985212075</v>
      </c>
      <c r="X40" s="13">
        <v>126238.985212075</v>
      </c>
      <c r="Y40" s="13">
        <v>126238.985212075</v>
      </c>
      <c r="Z40" s="13"/>
      <c r="AA40" s="13"/>
      <c r="AB40" s="13">
        <v>126238.985212075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spans="1:40" x14ac:dyDescent="0.25">
      <c r="A41" t="s">
        <v>313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>
        <v>150247.10838121429</v>
      </c>
      <c r="W41" s="13">
        <v>150247.10838121429</v>
      </c>
      <c r="X41" s="13">
        <v>150247.10838121429</v>
      </c>
      <c r="Y41" s="13">
        <v>150247.10838121429</v>
      </c>
      <c r="Z41" s="13">
        <v>150247.10838121429</v>
      </c>
      <c r="AA41" s="13">
        <v>150247.10838121429</v>
      </c>
      <c r="AB41" s="13">
        <v>150247.10838121429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 spans="1:40" x14ac:dyDescent="0.25">
      <c r="A42" t="s">
        <v>314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>
        <v>1237958.5409130065</v>
      </c>
      <c r="X42" s="13">
        <v>1237958.5409130065</v>
      </c>
      <c r="Y42" s="13">
        <v>1237958.5409130065</v>
      </c>
      <c r="Z42" s="13">
        <v>1237958.5409130065</v>
      </c>
      <c r="AA42" s="13">
        <v>1237958.5409130065</v>
      </c>
      <c r="AB42" s="13">
        <v>1237958.5409130065</v>
      </c>
      <c r="AC42" s="13">
        <v>1237958.540913007</v>
      </c>
      <c r="AD42" s="13">
        <v>1237958.540913007</v>
      </c>
      <c r="AE42" s="13">
        <v>1237958.540913007</v>
      </c>
      <c r="AF42" s="13">
        <v>1237958.540913007</v>
      </c>
      <c r="AG42" s="13">
        <v>1237958.540913007</v>
      </c>
      <c r="AH42" s="13">
        <v>1237958.540913007</v>
      </c>
      <c r="AI42" s="13">
        <v>1237958.540913007</v>
      </c>
      <c r="AJ42" s="13">
        <v>1237958.540913007</v>
      </c>
      <c r="AK42" s="13">
        <v>1237958.540913007</v>
      </c>
      <c r="AL42" s="13">
        <v>1237958.540913007</v>
      </c>
      <c r="AM42" s="13">
        <v>1237958.540913007</v>
      </c>
      <c r="AN42" s="13">
        <v>1237958.540913007</v>
      </c>
    </row>
    <row r="43" spans="1:40" x14ac:dyDescent="0.25">
      <c r="A43" t="s">
        <v>314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>
        <v>250019.5127586</v>
      </c>
      <c r="X43" s="13">
        <v>250019.5127586</v>
      </c>
      <c r="Y43" s="13"/>
      <c r="Z43" s="13"/>
      <c r="AA43" s="13"/>
      <c r="AB43" s="13"/>
      <c r="AC43" s="13"/>
      <c r="AD43" s="13">
        <v>125009.7563793</v>
      </c>
      <c r="AE43" s="13">
        <v>125009.7563793</v>
      </c>
      <c r="AF43" s="13"/>
      <c r="AG43" s="13">
        <v>125009.7563793</v>
      </c>
      <c r="AH43" s="13">
        <v>125009.7563793</v>
      </c>
      <c r="AI43" s="13"/>
      <c r="AJ43" s="13">
        <v>125009.7563793</v>
      </c>
      <c r="AK43" s="13">
        <v>125009.7563793</v>
      </c>
      <c r="AL43" s="13"/>
      <c r="AM43" s="13">
        <v>125009.7563793</v>
      </c>
      <c r="AN43" s="13">
        <v>125009.7563793</v>
      </c>
    </row>
    <row r="44" spans="1:40" x14ac:dyDescent="0.25">
      <c r="A44" t="s">
        <v>314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>
        <v>131660.42304965455</v>
      </c>
      <c r="X44" s="13"/>
      <c r="Y44" s="13">
        <v>131660.42304965455</v>
      </c>
      <c r="Z44" s="13"/>
      <c r="AA44" s="13"/>
      <c r="AB44" s="13"/>
      <c r="AC44" s="13"/>
      <c r="AD44" s="13">
        <v>131660.42304965455</v>
      </c>
      <c r="AE44" s="13">
        <v>131660.42304965455</v>
      </c>
      <c r="AF44" s="13">
        <v>131660.42304965455</v>
      </c>
      <c r="AG44" s="13">
        <v>131660.42304965455</v>
      </c>
      <c r="AH44" s="13"/>
      <c r="AI44" s="13">
        <v>131660.42304965455</v>
      </c>
      <c r="AJ44" s="13">
        <v>131660.42304965455</v>
      </c>
      <c r="AK44" s="13"/>
      <c r="AL44" s="13">
        <v>131660.42304965455</v>
      </c>
      <c r="AM44" s="13">
        <v>131660.42304965455</v>
      </c>
      <c r="AN44" s="13">
        <v>131660.42304965455</v>
      </c>
    </row>
    <row r="45" spans="1:40" x14ac:dyDescent="0.25">
      <c r="A45" t="s">
        <v>314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>
        <v>177587.88561520589</v>
      </c>
      <c r="Y45" s="13">
        <v>177587.88561520589</v>
      </c>
      <c r="Z45" s="13">
        <v>177587.88561520589</v>
      </c>
      <c r="AA45" s="13">
        <v>177587.88561520589</v>
      </c>
      <c r="AB45" s="13">
        <v>177587.88561520589</v>
      </c>
      <c r="AC45" s="13">
        <v>177587.88561520592</v>
      </c>
      <c r="AD45" s="13">
        <v>177587.88561520592</v>
      </c>
      <c r="AE45" s="13">
        <v>177587.88561520592</v>
      </c>
      <c r="AF45" s="13">
        <v>177587.88561520592</v>
      </c>
      <c r="AG45" s="13">
        <v>177587.88561520592</v>
      </c>
      <c r="AH45" s="13">
        <v>177587.88561520592</v>
      </c>
      <c r="AI45" s="13">
        <v>177587.88561520592</v>
      </c>
      <c r="AJ45" s="13">
        <v>177587.88561520592</v>
      </c>
      <c r="AK45" s="13">
        <v>177587.88561520592</v>
      </c>
      <c r="AL45" s="13">
        <v>177587.88561520592</v>
      </c>
      <c r="AM45" s="13">
        <v>177587.88561520592</v>
      </c>
      <c r="AN45" s="13">
        <v>177587.88561520592</v>
      </c>
    </row>
    <row r="46" spans="1:40" x14ac:dyDescent="0.25">
      <c r="A46" t="s">
        <v>315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>
        <v>2266885.6666348474</v>
      </c>
      <c r="R46" s="13">
        <v>2266885.6666348474</v>
      </c>
      <c r="S46" s="13">
        <v>2266885.6666348474</v>
      </c>
      <c r="T46" s="13">
        <v>2266885.6666348474</v>
      </c>
      <c r="U46" s="13">
        <v>2266885.6666348474</v>
      </c>
      <c r="V46" s="13">
        <v>2266885.6666348474</v>
      </c>
      <c r="W46" s="13">
        <v>2266885.6666348474</v>
      </c>
      <c r="X46" s="13">
        <v>2266885.6666348474</v>
      </c>
      <c r="Y46" s="13">
        <v>2266885.6666348474</v>
      </c>
      <c r="Z46" s="13">
        <v>2266885.6666348474</v>
      </c>
      <c r="AA46" s="13">
        <v>2266885.6666348474</v>
      </c>
      <c r="AB46" s="13">
        <v>2266885.6666348474</v>
      </c>
      <c r="AC46" s="13">
        <v>2266885.6666348474</v>
      </c>
      <c r="AD46" s="13">
        <v>2266885.6666348474</v>
      </c>
      <c r="AE46" s="13">
        <v>2266885.6666348474</v>
      </c>
      <c r="AF46" s="13">
        <v>2266885.6666348474</v>
      </c>
      <c r="AG46" s="13">
        <v>2266885.6666348474</v>
      </c>
      <c r="AH46" s="13">
        <v>2266885.6666348474</v>
      </c>
      <c r="AI46" s="13">
        <v>2266885.6666348474</v>
      </c>
      <c r="AJ46" s="13">
        <v>2266885.6666348474</v>
      </c>
      <c r="AK46" s="13">
        <v>2266885.6666348474</v>
      </c>
      <c r="AL46" s="13">
        <v>2266885.6666348474</v>
      </c>
      <c r="AM46" s="13">
        <v>2266885.6666348474</v>
      </c>
      <c r="AN46" s="13">
        <v>2266885.6666348474</v>
      </c>
    </row>
    <row r="47" spans="1:40" x14ac:dyDescent="0.25">
      <c r="A47" t="s">
        <v>315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>
        <v>250019.5127586</v>
      </c>
      <c r="V47" s="13"/>
      <c r="W47" s="13">
        <v>250019.5127586</v>
      </c>
      <c r="X47" s="13">
        <v>250019.5127586</v>
      </c>
      <c r="Y47" s="13">
        <v>250019.5127586</v>
      </c>
      <c r="Z47" s="13">
        <v>250019.5127586</v>
      </c>
      <c r="AA47" s="13">
        <v>250019.5127586</v>
      </c>
      <c r="AB47" s="13">
        <v>250019.5127586</v>
      </c>
      <c r="AC47" s="13"/>
      <c r="AD47" s="13">
        <v>200015.61020688002</v>
      </c>
      <c r="AE47" s="13">
        <v>200015.61020688002</v>
      </c>
      <c r="AF47" s="13">
        <v>200015.61020688002</v>
      </c>
      <c r="AG47" s="13">
        <v>200015.61020688002</v>
      </c>
      <c r="AH47" s="13">
        <v>200015.61020688002</v>
      </c>
      <c r="AI47" s="13">
        <v>200015.61020688002</v>
      </c>
      <c r="AJ47" s="13">
        <v>200015.61020688002</v>
      </c>
      <c r="AK47" s="13">
        <v>200015.61020688002</v>
      </c>
      <c r="AL47" s="13">
        <v>200015.61020688002</v>
      </c>
      <c r="AM47" s="13">
        <v>200015.61020688002</v>
      </c>
      <c r="AN47" s="13"/>
    </row>
    <row r="48" spans="1:40" x14ac:dyDescent="0.25">
      <c r="A48" t="s">
        <v>315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>
        <v>160710.74144270457</v>
      </c>
      <c r="R48" s="13">
        <v>160710.74144270457</v>
      </c>
      <c r="S48" s="13">
        <v>160710.74144270457</v>
      </c>
      <c r="T48" s="13">
        <v>160710.74144270457</v>
      </c>
      <c r="U48" s="13">
        <v>160710.74144270457</v>
      </c>
      <c r="V48" s="13">
        <v>160710.74144270457</v>
      </c>
      <c r="W48" s="13">
        <v>160710.74144270457</v>
      </c>
      <c r="X48" s="13">
        <v>160710.74144270457</v>
      </c>
      <c r="Y48" s="13">
        <v>160710.74144270457</v>
      </c>
      <c r="Z48" s="13">
        <v>160710.74144270457</v>
      </c>
      <c r="AA48" s="13">
        <v>160710.74144270457</v>
      </c>
      <c r="AB48" s="13"/>
      <c r="AC48" s="13">
        <v>160710.74144270457</v>
      </c>
      <c r="AD48" s="13">
        <v>160710.74144270457</v>
      </c>
      <c r="AE48" s="13">
        <v>160710.74144270457</v>
      </c>
      <c r="AF48" s="13">
        <v>160710.74144270457</v>
      </c>
      <c r="AG48" s="13">
        <v>160710.74144270457</v>
      </c>
      <c r="AH48" s="13">
        <v>160710.74144270457</v>
      </c>
      <c r="AI48" s="13">
        <v>160710.74144270457</v>
      </c>
      <c r="AJ48" s="13">
        <v>160710.74144270457</v>
      </c>
      <c r="AK48" s="13">
        <v>160710.74144270457</v>
      </c>
      <c r="AL48" s="13">
        <v>160710.74144270457</v>
      </c>
      <c r="AM48" s="13">
        <v>160710.74144270457</v>
      </c>
      <c r="AN48" s="13"/>
    </row>
    <row r="49" spans="1:40" x14ac:dyDescent="0.25">
      <c r="A49" t="s">
        <v>315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>
        <v>334985.21417368186</v>
      </c>
      <c r="S49" s="13">
        <v>334985.21417368186</v>
      </c>
      <c r="T49" s="13">
        <v>334985.21417368186</v>
      </c>
      <c r="U49" s="13">
        <v>334985.21417368186</v>
      </c>
      <c r="V49" s="13">
        <v>334985.21417368186</v>
      </c>
      <c r="W49" s="13">
        <v>334985.21417368186</v>
      </c>
      <c r="X49" s="13">
        <v>334985.21417368186</v>
      </c>
      <c r="Y49" s="13">
        <v>334985.21417368186</v>
      </c>
      <c r="Z49" s="13">
        <v>334985.21417368186</v>
      </c>
      <c r="AA49" s="13">
        <v>334985.21417368186</v>
      </c>
      <c r="AB49" s="13">
        <v>334985.21417368186</v>
      </c>
      <c r="AC49" s="13"/>
      <c r="AD49" s="13">
        <v>334985.21417368186</v>
      </c>
      <c r="AE49" s="13">
        <v>334985.21417368186</v>
      </c>
      <c r="AF49" s="13">
        <v>334985.21417368186</v>
      </c>
      <c r="AG49" s="13">
        <v>334985.21417368186</v>
      </c>
      <c r="AH49" s="13">
        <v>334985.21417368186</v>
      </c>
      <c r="AI49" s="13">
        <v>334985.21417368186</v>
      </c>
      <c r="AJ49" s="13">
        <v>334985.21417368186</v>
      </c>
      <c r="AK49" s="13">
        <v>334985.21417368186</v>
      </c>
      <c r="AL49" s="13">
        <v>334985.21417368186</v>
      </c>
      <c r="AM49" s="13">
        <v>334985.21417368186</v>
      </c>
      <c r="AN49" s="13">
        <v>334985.21417368186</v>
      </c>
    </row>
    <row r="50" spans="1:40" x14ac:dyDescent="0.25">
      <c r="A50" t="s">
        <v>316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>
        <v>1311375.0532764664</v>
      </c>
      <c r="AD50" s="13">
        <v>1311375.0532764664</v>
      </c>
      <c r="AE50" s="13">
        <v>1311375.0532764664</v>
      </c>
      <c r="AF50" s="13">
        <v>1311375.0532764664</v>
      </c>
      <c r="AG50" s="13">
        <v>1311375.0532764664</v>
      </c>
      <c r="AH50" s="13">
        <v>1311375.0532764664</v>
      </c>
      <c r="AI50" s="13">
        <v>1311375.0532764664</v>
      </c>
      <c r="AJ50" s="13">
        <v>1311375.0532764664</v>
      </c>
      <c r="AK50" s="13">
        <v>1311375.0532764664</v>
      </c>
      <c r="AL50" s="13">
        <v>1311375.0532764664</v>
      </c>
      <c r="AM50" s="13">
        <v>1311375.0532764664</v>
      </c>
      <c r="AN50" s="13">
        <v>1311375.0532764664</v>
      </c>
    </row>
    <row r="51" spans="1:40" x14ac:dyDescent="0.25">
      <c r="A51" t="s">
        <v>316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>
        <v>333359.35034479998</v>
      </c>
      <c r="AE51" s="13">
        <v>333359.35034479998</v>
      </c>
      <c r="AF51" s="13">
        <v>333359.35034479998</v>
      </c>
      <c r="AG51" s="13">
        <v>333359.35034479998</v>
      </c>
      <c r="AH51" s="13">
        <v>333359.35034479998</v>
      </c>
      <c r="AI51" s="13">
        <v>333359.35034479998</v>
      </c>
      <c r="AJ51" s="13">
        <v>333359.35034479998</v>
      </c>
      <c r="AK51" s="13">
        <v>333359.35034479998</v>
      </c>
      <c r="AL51" s="13">
        <v>333359.35034479998</v>
      </c>
      <c r="AM51" s="13"/>
      <c r="AN51" s="13"/>
    </row>
    <row r="52" spans="1:40" x14ac:dyDescent="0.25">
      <c r="A52" t="s">
        <v>316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>
        <v>255443.35974521114</v>
      </c>
      <c r="AE52" s="13">
        <v>255443.35974521114</v>
      </c>
      <c r="AF52" s="13">
        <v>255443.35974521114</v>
      </c>
      <c r="AG52" s="13">
        <v>255443.35974521114</v>
      </c>
      <c r="AH52" s="13">
        <v>255443.35974521114</v>
      </c>
      <c r="AI52" s="13">
        <v>255443.35974521114</v>
      </c>
      <c r="AJ52" s="13">
        <v>255443.35974521114</v>
      </c>
      <c r="AK52" s="13">
        <v>255443.35974521114</v>
      </c>
      <c r="AL52" s="13">
        <v>255443.35974521114</v>
      </c>
      <c r="AM52" s="13"/>
      <c r="AN52" s="13"/>
    </row>
    <row r="53" spans="1:40" x14ac:dyDescent="0.25">
      <c r="A53" t="s">
        <v>316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>
        <v>150915.31004046366</v>
      </c>
      <c r="AE53" s="13">
        <v>150915.31004046366</v>
      </c>
      <c r="AF53" s="13">
        <v>150915.31004046366</v>
      </c>
      <c r="AG53" s="13">
        <v>150915.31004046366</v>
      </c>
      <c r="AH53" s="13">
        <v>150915.31004046366</v>
      </c>
      <c r="AI53" s="13">
        <v>150915.31004046366</v>
      </c>
      <c r="AJ53" s="13">
        <v>150915.31004046366</v>
      </c>
      <c r="AK53" s="13">
        <v>150915.31004046366</v>
      </c>
      <c r="AL53" s="13">
        <v>150915.31004046366</v>
      </c>
      <c r="AM53" s="13">
        <v>150915.31004046366</v>
      </c>
      <c r="AN53" s="13">
        <v>150915.31004046366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opLeftCell="A46" workbookViewId="0">
      <selection activeCell="A2" sqref="A2:A49"/>
    </sheetView>
  </sheetViews>
  <sheetFormatPr defaultRowHeight="15" x14ac:dyDescent="0.25"/>
  <cols>
    <col min="1" max="1" width="17.85546875" bestFit="1" customWidth="1"/>
    <col min="2" max="2" width="44.140625" bestFit="1" customWidth="1"/>
    <col min="3" max="3" width="14.140625" bestFit="1" customWidth="1"/>
    <col min="4" max="4" width="20.7109375" bestFit="1" customWidth="1"/>
    <col min="5" max="5" width="16.85546875" bestFit="1" customWidth="1"/>
  </cols>
  <sheetData>
    <row r="1" spans="1:5" x14ac:dyDescent="0.25">
      <c r="A1" t="s">
        <v>260</v>
      </c>
      <c r="B1" t="s">
        <v>261</v>
      </c>
      <c r="C1" t="s">
        <v>262</v>
      </c>
      <c r="D1" t="s">
        <v>263</v>
      </c>
      <c r="E1" t="s">
        <v>264</v>
      </c>
    </row>
    <row r="2" spans="1:5" x14ac:dyDescent="0.25">
      <c r="A2" t="s">
        <v>265</v>
      </c>
      <c r="B2" t="s">
        <v>266</v>
      </c>
      <c r="C2">
        <v>18553</v>
      </c>
      <c r="D2" s="13">
        <v>833.95413851000001</v>
      </c>
      <c r="E2" s="13">
        <f t="shared" ref="E2:E49" si="0">C2*D2</f>
        <v>15472351.131776029</v>
      </c>
    </row>
    <row r="3" spans="1:5" x14ac:dyDescent="0.25">
      <c r="A3" t="s">
        <v>265</v>
      </c>
      <c r="B3" t="s">
        <v>267</v>
      </c>
      <c r="C3">
        <v>7730.25</v>
      </c>
      <c r="D3" s="13">
        <v>883.00247939999997</v>
      </c>
      <c r="E3" s="13">
        <f t="shared" si="0"/>
        <v>6825829.9163818499</v>
      </c>
    </row>
    <row r="4" spans="1:5" x14ac:dyDescent="0.25">
      <c r="A4" t="s">
        <v>265</v>
      </c>
      <c r="B4" t="s">
        <v>268</v>
      </c>
      <c r="C4">
        <v>4638</v>
      </c>
      <c r="D4" s="13">
        <v>1103.2580264999999</v>
      </c>
      <c r="E4" s="13">
        <f t="shared" si="0"/>
        <v>5116910.7269069999</v>
      </c>
    </row>
    <row r="5" spans="1:5" x14ac:dyDescent="0.25">
      <c r="A5" t="s">
        <v>265</v>
      </c>
      <c r="B5" t="s">
        <v>269</v>
      </c>
      <c r="C5">
        <v>3772</v>
      </c>
      <c r="D5" s="13">
        <v>472.36290070000001</v>
      </c>
      <c r="E5" s="13">
        <f t="shared" si="0"/>
        <v>1781752.8614404001</v>
      </c>
    </row>
    <row r="6" spans="1:5" x14ac:dyDescent="0.25">
      <c r="A6" t="s">
        <v>265</v>
      </c>
      <c r="B6" t="s">
        <v>270</v>
      </c>
      <c r="C6">
        <v>2454</v>
      </c>
      <c r="D6" s="13">
        <v>1513.2802283000001</v>
      </c>
      <c r="E6" s="13">
        <f t="shared" si="0"/>
        <v>3713589.6802482004</v>
      </c>
    </row>
    <row r="7" spans="1:5" x14ac:dyDescent="0.25">
      <c r="A7" t="s">
        <v>265</v>
      </c>
      <c r="B7" t="s">
        <v>271</v>
      </c>
      <c r="C7">
        <v>11</v>
      </c>
      <c r="D7" s="13">
        <v>250019.5127586</v>
      </c>
      <c r="E7" s="13">
        <f t="shared" si="0"/>
        <v>2750214.6403446002</v>
      </c>
    </row>
    <row r="8" spans="1:5" x14ac:dyDescent="0.25">
      <c r="A8" t="s">
        <v>210</v>
      </c>
      <c r="B8" t="s">
        <v>266</v>
      </c>
      <c r="C8">
        <v>43750.8</v>
      </c>
      <c r="D8" s="13">
        <v>833.95413851000001</v>
      </c>
      <c r="E8" s="13">
        <f t="shared" si="0"/>
        <v>36486160.723123312</v>
      </c>
    </row>
    <row r="9" spans="1:5" x14ac:dyDescent="0.25">
      <c r="A9" t="s">
        <v>210</v>
      </c>
      <c r="B9" t="s">
        <v>267</v>
      </c>
      <c r="C9">
        <v>18229.5</v>
      </c>
      <c r="D9" s="13">
        <v>883.00247939999997</v>
      </c>
      <c r="E9" s="13">
        <f t="shared" si="0"/>
        <v>16096693.6982223</v>
      </c>
    </row>
    <row r="10" spans="1:5" x14ac:dyDescent="0.25">
      <c r="A10" t="s">
        <v>210</v>
      </c>
      <c r="B10" t="s">
        <v>268</v>
      </c>
      <c r="C10">
        <v>10938</v>
      </c>
      <c r="D10" s="13">
        <v>1103.2580264999999</v>
      </c>
      <c r="E10" s="13">
        <f t="shared" si="0"/>
        <v>12067436.293856999</v>
      </c>
    </row>
    <row r="11" spans="1:5" x14ac:dyDescent="0.25">
      <c r="A11" t="s">
        <v>210</v>
      </c>
      <c r="B11" t="s">
        <v>269</v>
      </c>
      <c r="C11">
        <v>8967</v>
      </c>
      <c r="D11" s="13">
        <v>472.36290070000001</v>
      </c>
      <c r="E11" s="13">
        <f t="shared" si="0"/>
        <v>4235678.1305769002</v>
      </c>
    </row>
    <row r="12" spans="1:5" x14ac:dyDescent="0.25">
      <c r="A12" t="s">
        <v>210</v>
      </c>
      <c r="B12" t="s">
        <v>270</v>
      </c>
      <c r="C12">
        <v>5786</v>
      </c>
      <c r="D12" s="13">
        <v>1513.2802283000001</v>
      </c>
      <c r="E12" s="13">
        <f t="shared" si="0"/>
        <v>8755839.4009438008</v>
      </c>
    </row>
    <row r="13" spans="1:5" x14ac:dyDescent="0.25">
      <c r="A13" t="s">
        <v>210</v>
      </c>
      <c r="B13" t="s">
        <v>271</v>
      </c>
      <c r="C13">
        <v>26</v>
      </c>
      <c r="D13" s="13">
        <v>250019.5127586</v>
      </c>
      <c r="E13" s="13">
        <f t="shared" si="0"/>
        <v>6500507.3317235997</v>
      </c>
    </row>
    <row r="14" spans="1:5" x14ac:dyDescent="0.25">
      <c r="A14" t="s">
        <v>207</v>
      </c>
      <c r="B14" t="s">
        <v>266</v>
      </c>
      <c r="C14">
        <v>410.6</v>
      </c>
      <c r="D14" s="13">
        <v>833.95413851000001</v>
      </c>
      <c r="E14" s="13">
        <f t="shared" si="0"/>
        <v>342421.56927220605</v>
      </c>
    </row>
    <row r="15" spans="1:5" x14ac:dyDescent="0.25">
      <c r="A15" t="s">
        <v>207</v>
      </c>
      <c r="B15" t="s">
        <v>267</v>
      </c>
      <c r="C15">
        <v>171.5</v>
      </c>
      <c r="D15" s="13">
        <v>883.00247939999997</v>
      </c>
      <c r="E15" s="13">
        <f t="shared" si="0"/>
        <v>151434.92521709998</v>
      </c>
    </row>
    <row r="16" spans="1:5" x14ac:dyDescent="0.25">
      <c r="A16" t="s">
        <v>207</v>
      </c>
      <c r="B16" t="s">
        <v>268</v>
      </c>
      <c r="C16">
        <v>104</v>
      </c>
      <c r="D16" s="13">
        <v>1103.2580264999999</v>
      </c>
      <c r="E16" s="13">
        <f t="shared" si="0"/>
        <v>114738.834756</v>
      </c>
    </row>
    <row r="17" spans="1:5" x14ac:dyDescent="0.25">
      <c r="A17" t="s">
        <v>207</v>
      </c>
      <c r="B17" t="s">
        <v>269</v>
      </c>
      <c r="C17">
        <v>0</v>
      </c>
      <c r="D17" s="13">
        <v>472.36290070000001</v>
      </c>
      <c r="E17" s="13">
        <f t="shared" si="0"/>
        <v>0</v>
      </c>
    </row>
    <row r="18" spans="1:5" x14ac:dyDescent="0.25">
      <c r="A18" t="s">
        <v>207</v>
      </c>
      <c r="B18" t="s">
        <v>270</v>
      </c>
      <c r="C18">
        <v>54</v>
      </c>
      <c r="D18" s="13">
        <v>1513.2802283000001</v>
      </c>
      <c r="E18" s="13">
        <f t="shared" si="0"/>
        <v>81717.132328200008</v>
      </c>
    </row>
    <row r="19" spans="1:5" x14ac:dyDescent="0.25">
      <c r="A19" t="s">
        <v>207</v>
      </c>
      <c r="B19" t="s">
        <v>271</v>
      </c>
      <c r="C19">
        <v>0</v>
      </c>
      <c r="D19" s="13">
        <v>250019.5127586</v>
      </c>
      <c r="E19" s="13">
        <f t="shared" si="0"/>
        <v>0</v>
      </c>
    </row>
    <row r="20" spans="1:5" x14ac:dyDescent="0.25">
      <c r="A20" t="s">
        <v>272</v>
      </c>
      <c r="B20" t="s">
        <v>266</v>
      </c>
      <c r="C20">
        <v>15079.8</v>
      </c>
      <c r="D20" s="13">
        <v>833.95413851000001</v>
      </c>
      <c r="E20" s="13">
        <f t="shared" si="0"/>
        <v>12575861.617903097</v>
      </c>
    </row>
    <row r="21" spans="1:5" x14ac:dyDescent="0.25">
      <c r="A21" t="s">
        <v>272</v>
      </c>
      <c r="B21" t="s">
        <v>267</v>
      </c>
      <c r="C21">
        <v>6283.25</v>
      </c>
      <c r="D21" s="13">
        <v>883.00247939999997</v>
      </c>
      <c r="E21" s="13">
        <f t="shared" si="0"/>
        <v>5548125.3286900502</v>
      </c>
    </row>
    <row r="22" spans="1:5" x14ac:dyDescent="0.25">
      <c r="A22" t="s">
        <v>272</v>
      </c>
      <c r="B22" t="s">
        <v>268</v>
      </c>
      <c r="C22">
        <v>3770</v>
      </c>
      <c r="D22" s="13">
        <v>1103.2580264999999</v>
      </c>
      <c r="E22" s="13">
        <f t="shared" si="0"/>
        <v>4159282.7599049998</v>
      </c>
    </row>
    <row r="23" spans="1:5" x14ac:dyDescent="0.25">
      <c r="A23" t="s">
        <v>272</v>
      </c>
      <c r="B23" t="s">
        <v>269</v>
      </c>
      <c r="C23">
        <v>3066</v>
      </c>
      <c r="D23" s="13">
        <v>472.36290070000001</v>
      </c>
      <c r="E23" s="13">
        <f t="shared" si="0"/>
        <v>1448264.6535462001</v>
      </c>
    </row>
    <row r="24" spans="1:5" x14ac:dyDescent="0.25">
      <c r="A24" t="s">
        <v>272</v>
      </c>
      <c r="B24" t="s">
        <v>270</v>
      </c>
      <c r="C24">
        <v>1995</v>
      </c>
      <c r="D24" s="13">
        <v>1513.2802283000001</v>
      </c>
      <c r="E24" s="13">
        <f t="shared" si="0"/>
        <v>3018994.0554585001</v>
      </c>
    </row>
    <row r="25" spans="1:5" x14ac:dyDescent="0.25">
      <c r="A25" t="s">
        <v>272</v>
      </c>
      <c r="B25" t="s">
        <v>271</v>
      </c>
      <c r="C25">
        <v>9</v>
      </c>
      <c r="D25" s="13">
        <v>250019.5127586</v>
      </c>
      <c r="E25" s="13">
        <f t="shared" si="0"/>
        <v>2250175.6148274001</v>
      </c>
    </row>
    <row r="26" spans="1:5" x14ac:dyDescent="0.25">
      <c r="A26" t="s">
        <v>214</v>
      </c>
      <c r="B26" t="s">
        <v>266</v>
      </c>
      <c r="C26">
        <v>25006.799999999999</v>
      </c>
      <c r="D26">
        <v>833.95413851000001</v>
      </c>
      <c r="E26" s="13">
        <f t="shared" si="0"/>
        <v>20854524.350891866</v>
      </c>
    </row>
    <row r="27" spans="1:5" x14ac:dyDescent="0.25">
      <c r="A27" t="s">
        <v>214</v>
      </c>
      <c r="B27" t="s">
        <v>267</v>
      </c>
      <c r="C27">
        <v>10419.5</v>
      </c>
      <c r="D27">
        <v>883.00247939999997</v>
      </c>
      <c r="E27" s="13">
        <f t="shared" si="0"/>
        <v>9200444.3341083005</v>
      </c>
    </row>
    <row r="28" spans="1:5" x14ac:dyDescent="0.25">
      <c r="A28" t="s">
        <v>214</v>
      </c>
      <c r="B28" t="s">
        <v>268</v>
      </c>
      <c r="C28">
        <v>6252</v>
      </c>
      <c r="D28">
        <v>1103.2580264999999</v>
      </c>
      <c r="E28" s="13">
        <f t="shared" si="0"/>
        <v>6897569.1816779999</v>
      </c>
    </row>
    <row r="29" spans="1:5" x14ac:dyDescent="0.25">
      <c r="A29" t="s">
        <v>214</v>
      </c>
      <c r="B29" t="s">
        <v>269</v>
      </c>
      <c r="C29">
        <v>5084</v>
      </c>
      <c r="D29">
        <v>472.36290070000001</v>
      </c>
      <c r="E29" s="13">
        <f t="shared" si="0"/>
        <v>2401492.9871588</v>
      </c>
    </row>
    <row r="30" spans="1:5" x14ac:dyDescent="0.25">
      <c r="A30" t="s">
        <v>214</v>
      </c>
      <c r="B30" t="s">
        <v>270</v>
      </c>
      <c r="C30">
        <v>3308</v>
      </c>
      <c r="D30">
        <v>1513.2802283000001</v>
      </c>
      <c r="E30" s="13">
        <f t="shared" si="0"/>
        <v>5005930.9952164004</v>
      </c>
    </row>
    <row r="31" spans="1:5" x14ac:dyDescent="0.25">
      <c r="A31" t="s">
        <v>214</v>
      </c>
      <c r="B31" t="s">
        <v>271</v>
      </c>
      <c r="C31">
        <v>15</v>
      </c>
      <c r="D31">
        <v>250019.5127586</v>
      </c>
      <c r="E31" s="13">
        <f t="shared" si="0"/>
        <v>3750292.691379</v>
      </c>
    </row>
    <row r="32" spans="1:5" x14ac:dyDescent="0.25">
      <c r="A32" t="s">
        <v>211</v>
      </c>
      <c r="B32" t="s">
        <v>266</v>
      </c>
      <c r="C32">
        <v>5257.8</v>
      </c>
      <c r="D32" s="13">
        <v>833.95413851000001</v>
      </c>
      <c r="E32" s="13">
        <f t="shared" si="0"/>
        <v>4384764.0694578784</v>
      </c>
    </row>
    <row r="33" spans="1:5" x14ac:dyDescent="0.25">
      <c r="A33" t="s">
        <v>211</v>
      </c>
      <c r="B33" t="s">
        <v>267</v>
      </c>
      <c r="C33">
        <v>2190.75</v>
      </c>
      <c r="D33" s="13">
        <v>883.00247939999997</v>
      </c>
      <c r="E33" s="13">
        <f t="shared" si="0"/>
        <v>1934437.6817455499</v>
      </c>
    </row>
    <row r="34" spans="1:5" x14ac:dyDescent="0.25">
      <c r="A34" t="s">
        <v>211</v>
      </c>
      <c r="B34" t="s">
        <v>268</v>
      </c>
      <c r="C34">
        <v>1314</v>
      </c>
      <c r="D34" s="13">
        <v>1103.2580264999999</v>
      </c>
      <c r="E34" s="13">
        <f t="shared" si="0"/>
        <v>1449681.0468209998</v>
      </c>
    </row>
    <row r="35" spans="1:5" x14ac:dyDescent="0.25">
      <c r="A35" t="s">
        <v>211</v>
      </c>
      <c r="B35" t="s">
        <v>269</v>
      </c>
      <c r="C35">
        <v>1069</v>
      </c>
      <c r="D35" s="13">
        <v>472.36290070000001</v>
      </c>
      <c r="E35" s="13">
        <f t="shared" si="0"/>
        <v>504955.9408483</v>
      </c>
    </row>
    <row r="36" spans="1:5" x14ac:dyDescent="0.25">
      <c r="A36" t="s">
        <v>211</v>
      </c>
      <c r="B36" t="s">
        <v>270</v>
      </c>
      <c r="C36">
        <v>695</v>
      </c>
      <c r="D36" s="13">
        <v>1513.2802283000001</v>
      </c>
      <c r="E36" s="13">
        <f t="shared" si="0"/>
        <v>1051729.7586685</v>
      </c>
    </row>
    <row r="37" spans="1:5" x14ac:dyDescent="0.25">
      <c r="A37" t="s">
        <v>211</v>
      </c>
      <c r="B37" t="s">
        <v>271</v>
      </c>
      <c r="C37">
        <v>3</v>
      </c>
      <c r="D37" s="13">
        <v>250019.5127586</v>
      </c>
      <c r="E37" s="13">
        <f t="shared" si="0"/>
        <v>750058.53827579995</v>
      </c>
    </row>
    <row r="38" spans="1:5" x14ac:dyDescent="0.25">
      <c r="A38" t="s">
        <v>208</v>
      </c>
      <c r="B38" t="s">
        <v>266</v>
      </c>
      <c r="C38">
        <v>2108.4</v>
      </c>
      <c r="D38" s="13">
        <v>833.95413851000001</v>
      </c>
      <c r="E38" s="13">
        <f t="shared" si="0"/>
        <v>1758308.905634484</v>
      </c>
    </row>
    <row r="39" spans="1:5" x14ac:dyDescent="0.25">
      <c r="A39" t="s">
        <v>208</v>
      </c>
      <c r="B39" t="s">
        <v>267</v>
      </c>
      <c r="C39">
        <v>878.5</v>
      </c>
      <c r="D39" s="13">
        <v>883.00247939999997</v>
      </c>
      <c r="E39" s="13">
        <f t="shared" si="0"/>
        <v>775717.67815289996</v>
      </c>
    </row>
    <row r="40" spans="1:5" x14ac:dyDescent="0.25">
      <c r="A40" t="s">
        <v>208</v>
      </c>
      <c r="B40" t="s">
        <v>268</v>
      </c>
      <c r="C40">
        <v>527</v>
      </c>
      <c r="D40" s="13">
        <v>1103.2580264999999</v>
      </c>
      <c r="E40" s="13">
        <f t="shared" si="0"/>
        <v>581416.97996549995</v>
      </c>
    </row>
    <row r="41" spans="1:5" x14ac:dyDescent="0.25">
      <c r="A41" t="s">
        <v>208</v>
      </c>
      <c r="B41" t="s">
        <v>269</v>
      </c>
      <c r="C41">
        <v>429</v>
      </c>
      <c r="D41" s="13">
        <v>472.36290070000001</v>
      </c>
      <c r="E41" s="13">
        <f t="shared" si="0"/>
        <v>202643.6844003</v>
      </c>
    </row>
    <row r="42" spans="1:5" x14ac:dyDescent="0.25">
      <c r="A42" t="s">
        <v>208</v>
      </c>
      <c r="B42" t="s">
        <v>270</v>
      </c>
      <c r="C42">
        <v>279</v>
      </c>
      <c r="D42" s="13">
        <v>1513.2802283000001</v>
      </c>
      <c r="E42" s="13">
        <f t="shared" si="0"/>
        <v>422205.18369570002</v>
      </c>
    </row>
    <row r="43" spans="1:5" x14ac:dyDescent="0.25">
      <c r="A43" t="s">
        <v>208</v>
      </c>
      <c r="B43" t="s">
        <v>271</v>
      </c>
      <c r="C43">
        <v>1</v>
      </c>
      <c r="D43" s="13">
        <v>250019.5127586</v>
      </c>
      <c r="E43" s="13">
        <f t="shared" si="0"/>
        <v>250019.5127586</v>
      </c>
    </row>
    <row r="44" spans="1:5" x14ac:dyDescent="0.25">
      <c r="A44" t="s">
        <v>213</v>
      </c>
      <c r="B44" t="s">
        <v>266</v>
      </c>
      <c r="C44">
        <v>36817.800000000003</v>
      </c>
      <c r="D44" s="13">
        <v>833.95413851000001</v>
      </c>
      <c r="E44" s="13">
        <f t="shared" si="0"/>
        <v>30704356.680833481</v>
      </c>
    </row>
    <row r="45" spans="1:5" x14ac:dyDescent="0.25">
      <c r="A45" t="s">
        <v>213</v>
      </c>
      <c r="B45" t="s">
        <v>267</v>
      </c>
      <c r="C45">
        <v>15340.75</v>
      </c>
      <c r="D45" s="13">
        <v>883.00247939999997</v>
      </c>
      <c r="E45" s="13">
        <f t="shared" si="0"/>
        <v>13545920.28585555</v>
      </c>
    </row>
    <row r="46" spans="1:5" x14ac:dyDescent="0.25">
      <c r="A46" t="s">
        <v>213</v>
      </c>
      <c r="B46" t="s">
        <v>268</v>
      </c>
      <c r="C46">
        <v>9204</v>
      </c>
      <c r="D46" s="13">
        <v>1103.2580264999999</v>
      </c>
      <c r="E46" s="13">
        <f t="shared" si="0"/>
        <v>10154386.875906</v>
      </c>
    </row>
    <row r="47" spans="1:5" x14ac:dyDescent="0.25">
      <c r="A47" t="s">
        <v>213</v>
      </c>
      <c r="B47" t="s">
        <v>269</v>
      </c>
      <c r="C47">
        <v>7485</v>
      </c>
      <c r="D47" s="13">
        <v>472.36290070000001</v>
      </c>
      <c r="E47" s="13">
        <f t="shared" si="0"/>
        <v>3535636.3117395001</v>
      </c>
    </row>
    <row r="48" spans="1:5" x14ac:dyDescent="0.25">
      <c r="A48" t="s">
        <v>213</v>
      </c>
      <c r="B48" t="s">
        <v>270</v>
      </c>
      <c r="C48">
        <v>4870</v>
      </c>
      <c r="D48" s="13">
        <v>1513.2802283000001</v>
      </c>
      <c r="E48" s="13">
        <f t="shared" si="0"/>
        <v>7369674.7118210001</v>
      </c>
    </row>
    <row r="49" spans="1:5" x14ac:dyDescent="0.25">
      <c r="A49" t="s">
        <v>213</v>
      </c>
      <c r="B49" t="s">
        <v>271</v>
      </c>
      <c r="C49">
        <v>22</v>
      </c>
      <c r="D49" s="13">
        <v>250019.5127586</v>
      </c>
      <c r="E49" s="13">
        <f t="shared" si="0"/>
        <v>5500429.2806892004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3" workbookViewId="0">
      <selection activeCell="A2" sqref="A2:A17"/>
    </sheetView>
  </sheetViews>
  <sheetFormatPr defaultRowHeight="15" x14ac:dyDescent="0.25"/>
  <cols>
    <col min="1" max="1" width="8.140625" bestFit="1" customWidth="1"/>
    <col min="2" max="5" width="13.5703125" bestFit="1" customWidth="1"/>
    <col min="6" max="6" width="20.42578125" bestFit="1" customWidth="1"/>
  </cols>
  <sheetData>
    <row r="1" spans="1:6" x14ac:dyDescent="0.25">
      <c r="A1" t="s">
        <v>254</v>
      </c>
      <c r="B1" t="s">
        <v>255</v>
      </c>
      <c r="C1" t="s">
        <v>256</v>
      </c>
      <c r="D1" t="s">
        <v>257</v>
      </c>
      <c r="E1" t="s">
        <v>258</v>
      </c>
      <c r="F1" t="s">
        <v>259</v>
      </c>
    </row>
    <row r="2" spans="1:6" x14ac:dyDescent="0.25">
      <c r="A2" s="10">
        <v>45931</v>
      </c>
      <c r="B2" s="11">
        <v>1632</v>
      </c>
      <c r="C2" s="11">
        <v>0</v>
      </c>
      <c r="D2" s="2">
        <v>0</v>
      </c>
      <c r="E2" s="2">
        <v>221</v>
      </c>
      <c r="F2" s="12">
        <f>Tabela14[[#This Row],[Rede]]</f>
        <v>1632</v>
      </c>
    </row>
    <row r="3" spans="1:6" x14ac:dyDescent="0.25">
      <c r="A3" s="10">
        <v>45962</v>
      </c>
      <c r="B3" s="11">
        <v>1632</v>
      </c>
      <c r="C3" s="11">
        <v>0</v>
      </c>
      <c r="D3" s="2">
        <v>0</v>
      </c>
      <c r="E3" s="2">
        <v>221</v>
      </c>
      <c r="F3">
        <f>F2+Tabela14[[#This Row],[Rede]]</f>
        <v>3264</v>
      </c>
    </row>
    <row r="4" spans="1:6" x14ac:dyDescent="0.25">
      <c r="A4" s="10">
        <v>45992</v>
      </c>
      <c r="B4" s="11">
        <v>1632</v>
      </c>
      <c r="C4" s="2">
        <v>0</v>
      </c>
      <c r="D4" s="2">
        <v>0</v>
      </c>
      <c r="E4" s="2">
        <v>221</v>
      </c>
      <c r="F4">
        <f>F3+Tabela14[[#This Row],[Rede]]</f>
        <v>4896</v>
      </c>
    </row>
    <row r="5" spans="1:6" x14ac:dyDescent="0.25">
      <c r="A5" s="10">
        <v>46023</v>
      </c>
      <c r="B5" s="11">
        <v>3964.8249999999998</v>
      </c>
      <c r="C5" s="2">
        <v>0.5</v>
      </c>
      <c r="D5" s="2">
        <v>187</v>
      </c>
      <c r="E5" s="2">
        <v>357</v>
      </c>
      <c r="F5">
        <f>F4+Tabela14[[#This Row],[Rede]]</f>
        <v>8860.8250000000007</v>
      </c>
    </row>
    <row r="6" spans="1:6" x14ac:dyDescent="0.25">
      <c r="A6" s="10">
        <v>46054</v>
      </c>
      <c r="B6" s="2">
        <v>3964.8249999999998</v>
      </c>
      <c r="C6" s="2">
        <v>1.5</v>
      </c>
      <c r="D6" s="2">
        <v>0</v>
      </c>
      <c r="E6" s="2">
        <v>374</v>
      </c>
      <c r="F6">
        <f>F5+Tabela14[[#This Row],[Rede]]</f>
        <v>12825.650000000001</v>
      </c>
    </row>
    <row r="7" spans="1:6" x14ac:dyDescent="0.25">
      <c r="A7" s="10">
        <v>46082</v>
      </c>
      <c r="B7" s="2">
        <v>3964.8249999999998</v>
      </c>
      <c r="C7" s="2">
        <v>2</v>
      </c>
      <c r="D7" s="2">
        <v>0</v>
      </c>
      <c r="E7" s="2">
        <v>578</v>
      </c>
      <c r="F7">
        <f>F6+Tabela14[[#This Row],[Rede]]</f>
        <v>16790.475000000002</v>
      </c>
    </row>
    <row r="8" spans="1:6" x14ac:dyDescent="0.25">
      <c r="A8" s="10">
        <v>46113</v>
      </c>
      <c r="B8" s="2">
        <v>3964.8249999999998</v>
      </c>
      <c r="C8" s="2">
        <v>2</v>
      </c>
      <c r="D8" s="2">
        <v>380</v>
      </c>
      <c r="E8" s="2">
        <v>540.6</v>
      </c>
      <c r="F8">
        <f>F7+Tabela14[[#This Row],[Rede]]</f>
        <v>20755.300000000003</v>
      </c>
    </row>
    <row r="9" spans="1:6" x14ac:dyDescent="0.25">
      <c r="A9" s="10">
        <v>46143</v>
      </c>
      <c r="B9" s="2">
        <v>3964.8249999999998</v>
      </c>
      <c r="C9" s="2">
        <v>2.5</v>
      </c>
      <c r="D9" s="2">
        <v>0</v>
      </c>
      <c r="E9" s="2">
        <v>583.6</v>
      </c>
      <c r="F9">
        <f>F8+Tabela14[[#This Row],[Rede]]</f>
        <v>24720.125000000004</v>
      </c>
    </row>
    <row r="10" spans="1:6" x14ac:dyDescent="0.25">
      <c r="A10" s="10">
        <v>46174</v>
      </c>
      <c r="B10" s="2">
        <v>3924.8249999999998</v>
      </c>
      <c r="C10" s="2">
        <v>2.5</v>
      </c>
      <c r="D10" s="2">
        <v>414.5</v>
      </c>
      <c r="E10" s="2">
        <v>506.6</v>
      </c>
      <c r="F10">
        <f>F9+Tabela14[[#This Row],[Rede]]</f>
        <v>28644.950000000004</v>
      </c>
    </row>
    <row r="11" spans="1:6" x14ac:dyDescent="0.25">
      <c r="A11" s="10">
        <v>46204</v>
      </c>
      <c r="B11" s="2">
        <v>4885.0749999999998</v>
      </c>
      <c r="C11" s="2">
        <v>2.5</v>
      </c>
      <c r="D11" s="2">
        <v>222</v>
      </c>
      <c r="E11" s="2">
        <v>421.6</v>
      </c>
      <c r="F11">
        <f>F10+Tabela14[[#This Row],[Rede]]</f>
        <v>33530.025000000001</v>
      </c>
    </row>
    <row r="12" spans="1:6" x14ac:dyDescent="0.25">
      <c r="A12" s="10">
        <v>46235</v>
      </c>
      <c r="B12" s="2">
        <v>4885.0749999999998</v>
      </c>
      <c r="C12" s="2">
        <v>2.5</v>
      </c>
      <c r="D12" s="2">
        <v>223</v>
      </c>
      <c r="E12" s="2">
        <v>421.6</v>
      </c>
      <c r="F12">
        <f>F11+Tabela14[[#This Row],[Rede]]</f>
        <v>38415.1</v>
      </c>
    </row>
    <row r="13" spans="1:6" x14ac:dyDescent="0.25">
      <c r="A13" s="10">
        <v>46266</v>
      </c>
      <c r="B13" s="2">
        <v>5288.6</v>
      </c>
      <c r="C13" s="2">
        <v>2</v>
      </c>
      <c r="D13" s="2">
        <v>195</v>
      </c>
      <c r="E13" s="2">
        <v>453</v>
      </c>
      <c r="F13">
        <f>F12+Tabela14[[#This Row],[Rede]]</f>
        <v>43703.7</v>
      </c>
    </row>
    <row r="14" spans="1:6" x14ac:dyDescent="0.25">
      <c r="A14" s="10">
        <v>46296</v>
      </c>
      <c r="B14" s="2">
        <v>4852.6000000000004</v>
      </c>
      <c r="C14" s="2">
        <v>2</v>
      </c>
      <c r="D14" s="2">
        <v>664.77777777777783</v>
      </c>
      <c r="E14" s="2">
        <v>501</v>
      </c>
      <c r="F14">
        <f>F13+Tabela14[[#This Row],[Rede]]</f>
        <v>48556.299999999996</v>
      </c>
    </row>
    <row r="15" spans="1:6" x14ac:dyDescent="0.25">
      <c r="A15" s="10">
        <v>46327</v>
      </c>
      <c r="B15" s="2">
        <v>5260.6</v>
      </c>
      <c r="C15" s="2">
        <v>2.5</v>
      </c>
      <c r="D15" s="2">
        <v>358.77777777777777</v>
      </c>
      <c r="E15" s="2">
        <v>412</v>
      </c>
      <c r="F15">
        <f>F14+Tabela14[[#This Row],[Rede]]</f>
        <v>53816.899999999994</v>
      </c>
    </row>
    <row r="16" spans="1:6" x14ac:dyDescent="0.25">
      <c r="A16" s="10">
        <v>46357</v>
      </c>
      <c r="B16" s="2">
        <v>5270.6</v>
      </c>
      <c r="C16" s="2">
        <v>1.5</v>
      </c>
      <c r="D16" s="2">
        <v>1229.2777777777778</v>
      </c>
      <c r="E16" s="2">
        <v>356.6</v>
      </c>
      <c r="F16">
        <f>F15+Tabela14[[#This Row],[Rede]]</f>
        <v>59087.499999999993</v>
      </c>
    </row>
    <row r="17" spans="1:6" x14ac:dyDescent="0.25">
      <c r="A17" s="10">
        <v>46388</v>
      </c>
      <c r="B17">
        <v>7198.0416666666661</v>
      </c>
      <c r="C17">
        <v>0.5</v>
      </c>
      <c r="D17">
        <v>608.17171717171721</v>
      </c>
      <c r="E17">
        <v>133.4</v>
      </c>
      <c r="F17">
        <f>F16+Tabela14[[#This Row],[Rede]]</f>
        <v>66285.541666666657</v>
      </c>
    </row>
    <row r="18" spans="1:6" x14ac:dyDescent="0.25">
      <c r="A18" s="10">
        <v>46419</v>
      </c>
      <c r="B18">
        <v>7198.0416666666661</v>
      </c>
      <c r="C18">
        <v>2.5454545454545454</v>
      </c>
      <c r="D18">
        <v>608.17171717171721</v>
      </c>
      <c r="E18">
        <v>528.26363636363635</v>
      </c>
      <c r="F18">
        <f>F17+Tabela14[[#This Row],[Rede]]</f>
        <v>73483.583333333328</v>
      </c>
    </row>
    <row r="19" spans="1:6" x14ac:dyDescent="0.25">
      <c r="A19" s="10">
        <v>46447</v>
      </c>
      <c r="B19">
        <v>7198.0416666666661</v>
      </c>
      <c r="C19">
        <v>2.5454545454545454</v>
      </c>
      <c r="D19">
        <v>608.17171717171721</v>
      </c>
      <c r="E19">
        <v>528.26363636363635</v>
      </c>
      <c r="F19">
        <f>F18+Tabela14[[#This Row],[Rede]]</f>
        <v>80681.625</v>
      </c>
    </row>
    <row r="20" spans="1:6" x14ac:dyDescent="0.25">
      <c r="A20" s="10">
        <v>46478</v>
      </c>
      <c r="B20">
        <v>8171.6583333333328</v>
      </c>
      <c r="C20">
        <v>2.5454545454545454</v>
      </c>
      <c r="D20">
        <v>608.17171717171721</v>
      </c>
      <c r="E20">
        <v>528.26363636363635</v>
      </c>
      <c r="F20">
        <f>F19+Tabela14[[#This Row],[Rede]]</f>
        <v>88853.283333333326</v>
      </c>
    </row>
    <row r="21" spans="1:6" x14ac:dyDescent="0.25">
      <c r="A21" s="10">
        <v>46508</v>
      </c>
      <c r="B21">
        <v>8171.6583333333328</v>
      </c>
      <c r="C21">
        <v>2.5454545454545454</v>
      </c>
      <c r="D21">
        <v>608.17171717171721</v>
      </c>
      <c r="E21">
        <v>528.26363636363635</v>
      </c>
      <c r="F21">
        <f>F20+Tabela14[[#This Row],[Rede]]</f>
        <v>97024.941666666651</v>
      </c>
    </row>
    <row r="22" spans="1:6" x14ac:dyDescent="0.25">
      <c r="A22" s="10">
        <v>46539</v>
      </c>
      <c r="B22">
        <v>8261.6583333333328</v>
      </c>
      <c r="C22">
        <v>2.5454545454545454</v>
      </c>
      <c r="D22">
        <v>608.17171717171721</v>
      </c>
      <c r="E22">
        <v>625.54935064935069</v>
      </c>
      <c r="F22">
        <f>F21+Tabela14[[#This Row],[Rede]]</f>
        <v>105286.59999999998</v>
      </c>
    </row>
    <row r="23" spans="1:6" x14ac:dyDescent="0.25">
      <c r="A23" s="10">
        <v>46569</v>
      </c>
      <c r="B23">
        <v>7423.6450000000004</v>
      </c>
      <c r="C23">
        <v>3.0454545454545454</v>
      </c>
      <c r="D23">
        <v>1192.2045454545455</v>
      </c>
      <c r="E23">
        <v>494.14935064935065</v>
      </c>
      <c r="F23">
        <f>F22+Tabela14[[#This Row],[Rede]]</f>
        <v>112710.24499999998</v>
      </c>
    </row>
    <row r="24" spans="1:6" x14ac:dyDescent="0.25">
      <c r="A24" s="10">
        <v>46600</v>
      </c>
      <c r="B24">
        <v>7423.6450000000004</v>
      </c>
      <c r="C24">
        <v>3.1454545454545455</v>
      </c>
      <c r="D24">
        <v>607.47727272727275</v>
      </c>
      <c r="E24">
        <v>611.5022918258212</v>
      </c>
      <c r="F24">
        <f>F23+Tabela14[[#This Row],[Rede]]</f>
        <v>120133.88999999998</v>
      </c>
    </row>
    <row r="25" spans="1:6" x14ac:dyDescent="0.25">
      <c r="A25" s="10">
        <v>46631</v>
      </c>
      <c r="B25">
        <v>7423.6450000000004</v>
      </c>
      <c r="C25">
        <v>2.1454545454545455</v>
      </c>
      <c r="D25">
        <v>886.2045454545455</v>
      </c>
      <c r="E25">
        <v>611.5022918258212</v>
      </c>
      <c r="F25">
        <f>F24+Tabela14[[#This Row],[Rede]]</f>
        <v>127557.53499999999</v>
      </c>
    </row>
    <row r="26" spans="1:6" x14ac:dyDescent="0.25">
      <c r="A26" s="10">
        <v>46661</v>
      </c>
      <c r="B26">
        <v>7423.6450000000004</v>
      </c>
      <c r="C26">
        <v>2.1454545454545455</v>
      </c>
      <c r="D26">
        <v>1606.3939393939395</v>
      </c>
      <c r="E26">
        <v>611.5022918258212</v>
      </c>
      <c r="F26">
        <f>F25+Tabela14[[#This Row],[Rede]]</f>
        <v>134981.18</v>
      </c>
    </row>
    <row r="27" spans="1:6" x14ac:dyDescent="0.25">
      <c r="A27" s="10">
        <v>46692</v>
      </c>
      <c r="B27">
        <v>7423.6450000000004</v>
      </c>
      <c r="C27">
        <v>2.1454545454545455</v>
      </c>
      <c r="D27">
        <v>1606.3939393939395</v>
      </c>
      <c r="E27">
        <v>611.5022918258212</v>
      </c>
      <c r="F27">
        <f>F26+Tabela14[[#This Row],[Rede]]</f>
        <v>142404.82499999998</v>
      </c>
    </row>
    <row r="28" spans="1:6" x14ac:dyDescent="0.25">
      <c r="A28" s="10">
        <v>46722</v>
      </c>
      <c r="B28">
        <v>7423.6450000000004</v>
      </c>
      <c r="C28">
        <v>2.1454545454545455</v>
      </c>
      <c r="D28">
        <v>1533.4166666666667</v>
      </c>
      <c r="E28">
        <v>611.5022918258212</v>
      </c>
      <c r="F28">
        <f>F27+Tabela14[[#This Row],[Rede]]</f>
        <v>149828.46999999997</v>
      </c>
    </row>
    <row r="29" spans="1:6" x14ac:dyDescent="0.25">
      <c r="A29" s="10">
        <v>46753</v>
      </c>
      <c r="B29">
        <v>7928.9608333333326</v>
      </c>
      <c r="C29">
        <v>0.45454545454545453</v>
      </c>
      <c r="D29">
        <v>1606.3939393939395</v>
      </c>
      <c r="E29">
        <v>276.39460784313724</v>
      </c>
      <c r="F29">
        <f>F28+Tabela14[[#This Row],[Rede]]</f>
        <v>157757.43083333332</v>
      </c>
    </row>
    <row r="30" spans="1:6" x14ac:dyDescent="0.25">
      <c r="A30" s="10">
        <v>46784</v>
      </c>
      <c r="B30">
        <v>7928.9608333333326</v>
      </c>
      <c r="C30">
        <v>3.7878787878787876</v>
      </c>
      <c r="D30">
        <v>1159.7323232323233</v>
      </c>
      <c r="E30">
        <v>597.48551693404636</v>
      </c>
      <c r="F30">
        <f>F29+Tabela14[[#This Row],[Rede]]</f>
        <v>165686.39166666666</v>
      </c>
    </row>
    <row r="31" spans="1:6" x14ac:dyDescent="0.25">
      <c r="A31" s="10">
        <v>46813</v>
      </c>
      <c r="B31">
        <v>7928.9608333333326</v>
      </c>
      <c r="C31">
        <v>3.7878787878787876</v>
      </c>
      <c r="D31">
        <v>1159.7323232323233</v>
      </c>
      <c r="E31">
        <v>597.48551693404636</v>
      </c>
      <c r="F31">
        <f>F30+Tabela14[[#This Row],[Rede]]</f>
        <v>173615.35250000001</v>
      </c>
    </row>
    <row r="32" spans="1:6" x14ac:dyDescent="0.25">
      <c r="A32" s="10">
        <v>46844</v>
      </c>
      <c r="B32">
        <v>7928.9608333333326</v>
      </c>
      <c r="C32">
        <v>2.7878787878787876</v>
      </c>
      <c r="D32">
        <v>1159.7323232323233</v>
      </c>
      <c r="E32">
        <v>597.48551693404636</v>
      </c>
      <c r="F32">
        <f>F31+Tabela14[[#This Row],[Rede]]</f>
        <v>181544.31333333335</v>
      </c>
    </row>
    <row r="33" spans="1:6" x14ac:dyDescent="0.25">
      <c r="A33" s="10">
        <v>46874</v>
      </c>
      <c r="B33">
        <v>7928.9608333333326</v>
      </c>
      <c r="C33">
        <v>3.333333333333333</v>
      </c>
      <c r="D33">
        <v>1159.7323232323233</v>
      </c>
      <c r="E33">
        <v>597.48551693404636</v>
      </c>
      <c r="F33">
        <f>F32+Tabela14[[#This Row],[Rede]]</f>
        <v>189473.2741666667</v>
      </c>
    </row>
    <row r="34" spans="1:6" x14ac:dyDescent="0.25">
      <c r="A34" s="10">
        <v>46905</v>
      </c>
      <c r="B34">
        <v>7928.9608333333326</v>
      </c>
      <c r="C34">
        <v>3.7878787878787876</v>
      </c>
      <c r="D34">
        <v>881.00505050505058</v>
      </c>
      <c r="E34">
        <v>597.48551693404636</v>
      </c>
      <c r="F34">
        <f>F33+Tabela14[[#This Row],[Rede]]</f>
        <v>197402.23500000004</v>
      </c>
    </row>
    <row r="35" spans="1:6" x14ac:dyDescent="0.25">
      <c r="A35" s="10">
        <v>46935</v>
      </c>
      <c r="B35">
        <v>7928.9608333333326</v>
      </c>
      <c r="C35">
        <v>2.7878787878787876</v>
      </c>
      <c r="D35">
        <v>1159.7323232323233</v>
      </c>
      <c r="E35">
        <v>597.48551693404636</v>
      </c>
      <c r="F35">
        <f>F34+Tabela14[[#This Row],[Rede]]</f>
        <v>205331.19583333339</v>
      </c>
    </row>
    <row r="36" spans="1:6" x14ac:dyDescent="0.25">
      <c r="A36" s="10">
        <v>46966</v>
      </c>
      <c r="B36">
        <v>7928.9608333333326</v>
      </c>
      <c r="C36">
        <v>3.7878787878787876</v>
      </c>
      <c r="D36">
        <v>1159.7323232323233</v>
      </c>
      <c r="E36">
        <v>597.48551693404636</v>
      </c>
      <c r="F36">
        <f>F35+Tabela14[[#This Row],[Rede]]</f>
        <v>213260.15666666673</v>
      </c>
    </row>
    <row r="37" spans="1:6" x14ac:dyDescent="0.25">
      <c r="A37" s="10">
        <v>46997</v>
      </c>
      <c r="B37">
        <v>7928.9608333333326</v>
      </c>
      <c r="C37">
        <v>3.7878787878787876</v>
      </c>
      <c r="D37">
        <v>881.00505050505058</v>
      </c>
      <c r="E37">
        <v>597.48551693404636</v>
      </c>
      <c r="F37">
        <f>F36+Tabela14[[#This Row],[Rede]]</f>
        <v>221189.11750000008</v>
      </c>
    </row>
    <row r="38" spans="1:6" x14ac:dyDescent="0.25">
      <c r="A38" s="10">
        <v>47027</v>
      </c>
      <c r="B38">
        <v>7928.9608333333326</v>
      </c>
      <c r="C38">
        <v>2.7878787878787876</v>
      </c>
      <c r="D38">
        <v>1159.7323232323233</v>
      </c>
      <c r="E38">
        <v>597.48551693404636</v>
      </c>
      <c r="F38">
        <f>F37+Tabela14[[#This Row],[Rede]]</f>
        <v>229118.07833333343</v>
      </c>
    </row>
    <row r="39" spans="1:6" x14ac:dyDescent="0.25">
      <c r="A39" s="10">
        <v>47058</v>
      </c>
      <c r="B39">
        <v>7928.9608333333326</v>
      </c>
      <c r="C39">
        <v>2.4545454545454546</v>
      </c>
      <c r="D39">
        <v>1885.1212121212122</v>
      </c>
      <c r="E39">
        <v>597.48551693404636</v>
      </c>
      <c r="F39">
        <f>F38+Tabela14[[#This Row],[Rede]]</f>
        <v>237047.03916666677</v>
      </c>
    </row>
    <row r="40" spans="1:6" x14ac:dyDescent="0.25">
      <c r="A40" s="10">
        <v>47088</v>
      </c>
      <c r="B40">
        <v>7928.9608333333326</v>
      </c>
      <c r="C40">
        <v>1.4545454545454546</v>
      </c>
      <c r="D40">
        <v>1544.8939393939395</v>
      </c>
      <c r="E40">
        <v>597.48551693404636</v>
      </c>
      <c r="F40">
        <f>F39+Tabela14[[#This Row],[Rede]]</f>
        <v>244976.00000000012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C11" sqref="C11"/>
    </sheetView>
  </sheetViews>
  <sheetFormatPr defaultRowHeight="15" x14ac:dyDescent="0.25"/>
  <cols>
    <col min="1" max="1" width="44.5703125" bestFit="1" customWidth="1"/>
    <col min="2" max="2" width="24.7109375" bestFit="1" customWidth="1"/>
    <col min="3" max="3" width="22.7109375" bestFit="1" customWidth="1"/>
    <col min="4" max="4" width="18" bestFit="1" customWidth="1"/>
  </cols>
  <sheetData>
    <row r="1" spans="1:4" x14ac:dyDescent="0.25">
      <c r="A1" s="2" t="s">
        <v>261</v>
      </c>
      <c r="B1" s="2" t="s">
        <v>295</v>
      </c>
      <c r="C1" s="2" t="s">
        <v>296</v>
      </c>
      <c r="D1" s="2" t="s">
        <v>297</v>
      </c>
    </row>
    <row r="2" spans="1:4" x14ac:dyDescent="0.25">
      <c r="A2" s="2" t="s">
        <v>266</v>
      </c>
      <c r="B2" s="2">
        <v>146985</v>
      </c>
      <c r="C2" s="14">
        <v>873.71</v>
      </c>
      <c r="D2" s="14">
        <f>B2*C2</f>
        <v>128422264.35000001</v>
      </c>
    </row>
    <row r="3" spans="1:4" x14ac:dyDescent="0.25">
      <c r="A3" s="2" t="s">
        <v>267</v>
      </c>
      <c r="B3" s="2">
        <v>61244</v>
      </c>
      <c r="C3" s="14">
        <v>925.1</v>
      </c>
      <c r="D3" s="14">
        <f t="shared" ref="D3:D8" si="0">B3*C3</f>
        <v>56656824.399999999</v>
      </c>
    </row>
    <row r="4" spans="1:4" x14ac:dyDescent="0.25">
      <c r="A4" s="2" t="s">
        <v>268</v>
      </c>
      <c r="B4" s="2">
        <v>36747</v>
      </c>
      <c r="C4" s="14">
        <v>1155.8599999999999</v>
      </c>
      <c r="D4" s="14">
        <f t="shared" si="0"/>
        <v>42474387.419999994</v>
      </c>
    </row>
    <row r="5" spans="1:4" x14ac:dyDescent="0.25">
      <c r="A5" s="2" t="s">
        <v>298</v>
      </c>
      <c r="B5" s="2">
        <f>SUM(B2:B4)</f>
        <v>244976</v>
      </c>
      <c r="C5" s="14"/>
      <c r="D5" s="14">
        <f>SUM(D2:D4)</f>
        <v>227553476.16999999</v>
      </c>
    </row>
    <row r="6" spans="1:4" x14ac:dyDescent="0.25">
      <c r="A6" s="2" t="s">
        <v>269</v>
      </c>
      <c r="B6" s="2">
        <v>29872</v>
      </c>
      <c r="C6" s="14">
        <v>494.88</v>
      </c>
      <c r="D6" s="14">
        <f t="shared" si="0"/>
        <v>14783055.359999999</v>
      </c>
    </row>
    <row r="7" spans="1:4" x14ac:dyDescent="0.25">
      <c r="A7" s="2" t="s">
        <v>270</v>
      </c>
      <c r="B7" s="2">
        <v>19441</v>
      </c>
      <c r="C7" s="14">
        <v>1585.43</v>
      </c>
      <c r="D7" s="14">
        <f t="shared" si="0"/>
        <v>30822344.630000003</v>
      </c>
    </row>
    <row r="8" spans="1:4" x14ac:dyDescent="0.25">
      <c r="A8" s="2" t="s">
        <v>299</v>
      </c>
      <c r="B8" s="2">
        <v>87</v>
      </c>
      <c r="C8" s="14">
        <v>261940.19</v>
      </c>
      <c r="D8" s="14">
        <f t="shared" si="0"/>
        <v>22788796.530000001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1"/>
  <sheetViews>
    <sheetView showGridLines="0" tabSelected="1" workbookViewId="0">
      <selection activeCell="D172" sqref="D172"/>
    </sheetView>
  </sheetViews>
  <sheetFormatPr defaultRowHeight="15" x14ac:dyDescent="0.25"/>
  <cols>
    <col min="1" max="1" width="22.42578125" bestFit="1" customWidth="1"/>
    <col min="2" max="2" width="9.7109375" customWidth="1"/>
    <col min="3" max="3" width="48.5703125" bestFit="1" customWidth="1"/>
    <col min="4" max="4" width="15.85546875" bestFit="1" customWidth="1"/>
  </cols>
  <sheetData>
    <row r="1" spans="1:4" ht="15.75" x14ac:dyDescent="0.25">
      <c r="A1" s="3" t="s">
        <v>347</v>
      </c>
      <c r="B1" s="3" t="s">
        <v>42</v>
      </c>
      <c r="C1" s="3" t="s">
        <v>43</v>
      </c>
      <c r="D1" s="3" t="s">
        <v>44</v>
      </c>
    </row>
    <row r="2" spans="1:4" ht="15.75" x14ac:dyDescent="0.25">
      <c r="A2" s="4" t="s">
        <v>348</v>
      </c>
      <c r="B2" s="5" t="s">
        <v>45</v>
      </c>
      <c r="C2" s="5" t="s">
        <v>349</v>
      </c>
      <c r="D2" s="6" t="s">
        <v>46</v>
      </c>
    </row>
    <row r="3" spans="1:4" ht="15.75" x14ac:dyDescent="0.25">
      <c r="A3" s="4" t="s">
        <v>348</v>
      </c>
      <c r="B3" s="5" t="s">
        <v>45</v>
      </c>
      <c r="C3" s="5" t="s">
        <v>367</v>
      </c>
      <c r="D3" s="6" t="s">
        <v>46</v>
      </c>
    </row>
    <row r="4" spans="1:4" ht="15.75" x14ac:dyDescent="0.25">
      <c r="A4" s="4" t="s">
        <v>348</v>
      </c>
      <c r="B4" s="5" t="s">
        <v>45</v>
      </c>
      <c r="C4" s="5" t="s">
        <v>370</v>
      </c>
      <c r="D4" s="6" t="s">
        <v>47</v>
      </c>
    </row>
    <row r="5" spans="1:4" ht="15.75" x14ac:dyDescent="0.25">
      <c r="A5" s="4" t="s">
        <v>348</v>
      </c>
      <c r="B5" s="5" t="s">
        <v>45</v>
      </c>
      <c r="C5" s="5" t="s">
        <v>350</v>
      </c>
      <c r="D5" s="6" t="s">
        <v>47</v>
      </c>
    </row>
    <row r="6" spans="1:4" ht="15.75" x14ac:dyDescent="0.25">
      <c r="A6" s="4" t="s">
        <v>348</v>
      </c>
      <c r="B6" s="5" t="s">
        <v>45</v>
      </c>
      <c r="C6" s="5" t="s">
        <v>351</v>
      </c>
      <c r="D6" s="6" t="s">
        <v>48</v>
      </c>
    </row>
    <row r="7" spans="1:4" ht="15.75" x14ac:dyDescent="0.25">
      <c r="A7" s="4" t="s">
        <v>348</v>
      </c>
      <c r="B7" s="5" t="s">
        <v>45</v>
      </c>
      <c r="C7" s="5" t="s">
        <v>352</v>
      </c>
      <c r="D7" s="6" t="s">
        <v>48</v>
      </c>
    </row>
    <row r="8" spans="1:4" ht="15.75" x14ac:dyDescent="0.25">
      <c r="A8" s="4" t="s">
        <v>348</v>
      </c>
      <c r="B8" s="5" t="s">
        <v>45</v>
      </c>
      <c r="C8" s="5" t="s">
        <v>369</v>
      </c>
      <c r="D8" s="6" t="s">
        <v>47</v>
      </c>
    </row>
    <row r="9" spans="1:4" ht="15.75" x14ac:dyDescent="0.25">
      <c r="A9" s="4" t="s">
        <v>348</v>
      </c>
      <c r="B9" s="5" t="s">
        <v>49</v>
      </c>
      <c r="C9" s="5" t="s">
        <v>364</v>
      </c>
      <c r="D9" s="6" t="s">
        <v>46</v>
      </c>
    </row>
    <row r="10" spans="1:4" ht="15.75" x14ac:dyDescent="0.25">
      <c r="A10" s="4" t="s">
        <v>348</v>
      </c>
      <c r="B10" s="5" t="s">
        <v>49</v>
      </c>
      <c r="C10" s="5" t="s">
        <v>365</v>
      </c>
      <c r="D10" s="6" t="s">
        <v>46</v>
      </c>
    </row>
    <row r="11" spans="1:4" ht="15.75" x14ac:dyDescent="0.25">
      <c r="A11" s="4" t="s">
        <v>348</v>
      </c>
      <c r="B11" s="5" t="s">
        <v>49</v>
      </c>
      <c r="C11" s="5" t="s">
        <v>363</v>
      </c>
      <c r="D11" s="6" t="s">
        <v>47</v>
      </c>
    </row>
    <row r="12" spans="1:4" ht="15.75" x14ac:dyDescent="0.25">
      <c r="A12" s="4" t="s">
        <v>348</v>
      </c>
      <c r="B12" s="5" t="s">
        <v>49</v>
      </c>
      <c r="C12" s="5" t="s">
        <v>50</v>
      </c>
      <c r="D12" s="6" t="s">
        <v>47</v>
      </c>
    </row>
    <row r="13" spans="1:4" ht="15.75" x14ac:dyDescent="0.25">
      <c r="A13" s="4" t="s">
        <v>348</v>
      </c>
      <c r="B13" s="5" t="s">
        <v>49</v>
      </c>
      <c r="C13" s="5" t="s">
        <v>51</v>
      </c>
      <c r="D13" s="6" t="s">
        <v>48</v>
      </c>
    </row>
    <row r="14" spans="1:4" ht="15.75" x14ac:dyDescent="0.25">
      <c r="A14" s="4" t="s">
        <v>348</v>
      </c>
      <c r="B14" s="5" t="s">
        <v>49</v>
      </c>
      <c r="C14" s="5" t="s">
        <v>52</v>
      </c>
      <c r="D14" s="6" t="s">
        <v>48</v>
      </c>
    </row>
    <row r="15" spans="1:4" ht="15.75" x14ac:dyDescent="0.25">
      <c r="A15" s="4" t="s">
        <v>53</v>
      </c>
      <c r="B15" s="5" t="s">
        <v>45</v>
      </c>
      <c r="C15" s="5" t="s">
        <v>54</v>
      </c>
      <c r="D15" s="6" t="s">
        <v>47</v>
      </c>
    </row>
    <row r="16" spans="1:4" ht="15.75" x14ac:dyDescent="0.25">
      <c r="A16" s="4" t="s">
        <v>53</v>
      </c>
      <c r="B16" s="5" t="s">
        <v>45</v>
      </c>
      <c r="C16" s="5" t="s">
        <v>55</v>
      </c>
      <c r="D16" s="6" t="s">
        <v>47</v>
      </c>
    </row>
    <row r="17" spans="1:4" ht="15.75" x14ac:dyDescent="0.25">
      <c r="A17" s="4" t="s">
        <v>53</v>
      </c>
      <c r="B17" s="5" t="s">
        <v>45</v>
      </c>
      <c r="C17" s="5" t="s">
        <v>56</v>
      </c>
      <c r="D17" s="6" t="s">
        <v>47</v>
      </c>
    </row>
    <row r="18" spans="1:4" ht="15.75" x14ac:dyDescent="0.25">
      <c r="A18" s="4" t="s">
        <v>53</v>
      </c>
      <c r="B18" s="5" t="s">
        <v>45</v>
      </c>
      <c r="C18" s="5" t="s">
        <v>57</v>
      </c>
      <c r="D18" s="6" t="s">
        <v>48</v>
      </c>
    </row>
    <row r="19" spans="1:4" ht="15.75" x14ac:dyDescent="0.25">
      <c r="A19" s="4" t="s">
        <v>53</v>
      </c>
      <c r="B19" s="5" t="s">
        <v>45</v>
      </c>
      <c r="C19" s="5" t="s">
        <v>58</v>
      </c>
      <c r="D19" s="6" t="s">
        <v>48</v>
      </c>
    </row>
    <row r="20" spans="1:4" ht="15.75" x14ac:dyDescent="0.25">
      <c r="A20" s="4" t="s">
        <v>53</v>
      </c>
      <c r="B20" s="5" t="s">
        <v>45</v>
      </c>
      <c r="C20" s="5" t="s">
        <v>59</v>
      </c>
      <c r="D20" s="6" t="s">
        <v>48</v>
      </c>
    </row>
    <row r="21" spans="1:4" ht="15.75" x14ac:dyDescent="0.25">
      <c r="A21" s="4" t="s">
        <v>53</v>
      </c>
      <c r="B21" s="5" t="s">
        <v>45</v>
      </c>
      <c r="C21" s="5" t="s">
        <v>60</v>
      </c>
      <c r="D21" s="6" t="s">
        <v>48</v>
      </c>
    </row>
    <row r="22" spans="1:4" ht="15.75" x14ac:dyDescent="0.25">
      <c r="A22" s="4" t="s">
        <v>53</v>
      </c>
      <c r="B22" s="5" t="s">
        <v>45</v>
      </c>
      <c r="C22" s="5" t="s">
        <v>61</v>
      </c>
      <c r="D22" s="6" t="s">
        <v>48</v>
      </c>
    </row>
    <row r="23" spans="1:4" ht="15.75" x14ac:dyDescent="0.25">
      <c r="A23" s="4" t="s">
        <v>53</v>
      </c>
      <c r="B23" s="5" t="s">
        <v>49</v>
      </c>
      <c r="C23" s="5" t="s">
        <v>62</v>
      </c>
      <c r="D23" s="6" t="s">
        <v>47</v>
      </c>
    </row>
    <row r="24" spans="1:4" ht="15.75" x14ac:dyDescent="0.25">
      <c r="A24" s="4" t="s">
        <v>53</v>
      </c>
      <c r="B24" s="5" t="s">
        <v>49</v>
      </c>
      <c r="C24" s="5" t="s">
        <v>368</v>
      </c>
      <c r="D24" s="6" t="s">
        <v>47</v>
      </c>
    </row>
    <row r="25" spans="1:4" ht="15.75" x14ac:dyDescent="0.25">
      <c r="A25" s="4" t="s">
        <v>53</v>
      </c>
      <c r="B25" s="5" t="s">
        <v>49</v>
      </c>
      <c r="C25" s="5" t="s">
        <v>63</v>
      </c>
      <c r="D25" s="6" t="s">
        <v>47</v>
      </c>
    </row>
    <row r="26" spans="1:4" ht="15.75" x14ac:dyDescent="0.25">
      <c r="A26" s="4" t="s">
        <v>53</v>
      </c>
      <c r="B26" s="5" t="s">
        <v>49</v>
      </c>
      <c r="C26" s="5" t="s">
        <v>64</v>
      </c>
      <c r="D26" s="6" t="s">
        <v>48</v>
      </c>
    </row>
    <row r="27" spans="1:4" ht="15.75" x14ac:dyDescent="0.25">
      <c r="A27" s="4" t="s">
        <v>53</v>
      </c>
      <c r="B27" s="5" t="s">
        <v>49</v>
      </c>
      <c r="C27" s="5" t="s">
        <v>65</v>
      </c>
      <c r="D27" s="6" t="s">
        <v>48</v>
      </c>
    </row>
    <row r="28" spans="1:4" ht="15.75" x14ac:dyDescent="0.25">
      <c r="A28" s="4" t="s">
        <v>53</v>
      </c>
      <c r="B28" s="5" t="s">
        <v>49</v>
      </c>
      <c r="C28" s="5" t="s">
        <v>66</v>
      </c>
      <c r="D28" s="6" t="s">
        <v>48</v>
      </c>
    </row>
    <row r="29" spans="1:4" ht="15.75" x14ac:dyDescent="0.25">
      <c r="A29" s="4" t="s">
        <v>53</v>
      </c>
      <c r="B29" s="5" t="s">
        <v>49</v>
      </c>
      <c r="C29" s="5" t="s">
        <v>67</v>
      </c>
      <c r="D29" s="6" t="s">
        <v>48</v>
      </c>
    </row>
    <row r="30" spans="1:4" ht="15.75" x14ac:dyDescent="0.25">
      <c r="A30" s="4" t="s">
        <v>53</v>
      </c>
      <c r="B30" s="5" t="s">
        <v>49</v>
      </c>
      <c r="C30" s="5" t="s">
        <v>68</v>
      </c>
      <c r="D30" s="6" t="s">
        <v>48</v>
      </c>
    </row>
    <row r="31" spans="1:4" ht="15.75" x14ac:dyDescent="0.25">
      <c r="A31" s="4" t="s">
        <v>53</v>
      </c>
      <c r="B31" s="5" t="s">
        <v>69</v>
      </c>
      <c r="C31" s="5" t="s">
        <v>70</v>
      </c>
      <c r="D31" s="6" t="s">
        <v>48</v>
      </c>
    </row>
    <row r="32" spans="1:4" ht="15.75" x14ac:dyDescent="0.25">
      <c r="A32" s="4" t="s">
        <v>53</v>
      </c>
      <c r="B32" s="5" t="s">
        <v>69</v>
      </c>
      <c r="C32" s="5" t="s">
        <v>71</v>
      </c>
      <c r="D32" s="6" t="s">
        <v>48</v>
      </c>
    </row>
    <row r="33" spans="1:4" ht="15.75" x14ac:dyDescent="0.25">
      <c r="A33" s="4" t="s">
        <v>53</v>
      </c>
      <c r="B33" s="5" t="s">
        <v>69</v>
      </c>
      <c r="C33" s="5" t="s">
        <v>72</v>
      </c>
      <c r="D33" s="6" t="s">
        <v>48</v>
      </c>
    </row>
    <row r="34" spans="1:4" ht="15.75" x14ac:dyDescent="0.25">
      <c r="A34" s="4" t="s">
        <v>53</v>
      </c>
      <c r="B34" s="5" t="s">
        <v>69</v>
      </c>
      <c r="C34" s="5" t="s">
        <v>73</v>
      </c>
      <c r="D34" s="6" t="s">
        <v>48</v>
      </c>
    </row>
    <row r="35" spans="1:4" ht="15.75" x14ac:dyDescent="0.25">
      <c r="A35" s="4" t="s">
        <v>53</v>
      </c>
      <c r="B35" s="5" t="s">
        <v>69</v>
      </c>
      <c r="C35" s="5" t="s">
        <v>74</v>
      </c>
      <c r="D35" s="6" t="s">
        <v>48</v>
      </c>
    </row>
    <row r="36" spans="1:4" ht="15.75" x14ac:dyDescent="0.25">
      <c r="A36" s="4" t="s">
        <v>53</v>
      </c>
      <c r="B36" s="5" t="s">
        <v>69</v>
      </c>
      <c r="C36" s="5" t="s">
        <v>75</v>
      </c>
      <c r="D36" s="6" t="s">
        <v>48</v>
      </c>
    </row>
    <row r="37" spans="1:4" ht="15.75" x14ac:dyDescent="0.25">
      <c r="A37" s="4" t="s">
        <v>53</v>
      </c>
      <c r="B37" s="5" t="s">
        <v>69</v>
      </c>
      <c r="C37" s="5" t="s">
        <v>76</v>
      </c>
      <c r="D37" s="6" t="s">
        <v>48</v>
      </c>
    </row>
    <row r="38" spans="1:4" ht="15.75" x14ac:dyDescent="0.25">
      <c r="A38" s="4" t="s">
        <v>53</v>
      </c>
      <c r="B38" s="5" t="s">
        <v>69</v>
      </c>
      <c r="C38" s="5" t="s">
        <v>77</v>
      </c>
      <c r="D38" s="6" t="s">
        <v>48</v>
      </c>
    </row>
    <row r="39" spans="1:4" ht="15.75" x14ac:dyDescent="0.25">
      <c r="A39" s="4" t="s">
        <v>78</v>
      </c>
      <c r="B39" s="5" t="s">
        <v>45</v>
      </c>
      <c r="C39" s="5" t="s">
        <v>79</v>
      </c>
      <c r="D39" s="6" t="s">
        <v>48</v>
      </c>
    </row>
    <row r="40" spans="1:4" ht="15.75" x14ac:dyDescent="0.25">
      <c r="A40" s="4" t="s">
        <v>78</v>
      </c>
      <c r="B40" s="5" t="s">
        <v>45</v>
      </c>
      <c r="C40" s="5" t="s">
        <v>80</v>
      </c>
      <c r="D40" s="6" t="s">
        <v>48</v>
      </c>
    </row>
    <row r="41" spans="1:4" ht="15.75" x14ac:dyDescent="0.25">
      <c r="A41" s="4" t="s">
        <v>78</v>
      </c>
      <c r="B41" s="5" t="s">
        <v>45</v>
      </c>
      <c r="C41" s="5" t="s">
        <v>81</v>
      </c>
      <c r="D41" s="6" t="s">
        <v>48</v>
      </c>
    </row>
    <row r="42" spans="1:4" ht="15.75" x14ac:dyDescent="0.25">
      <c r="A42" s="4" t="s">
        <v>78</v>
      </c>
      <c r="B42" s="5" t="s">
        <v>45</v>
      </c>
      <c r="C42" s="5" t="s">
        <v>82</v>
      </c>
      <c r="D42" s="6" t="s">
        <v>47</v>
      </c>
    </row>
    <row r="43" spans="1:4" ht="15.75" x14ac:dyDescent="0.25">
      <c r="A43" s="4" t="s">
        <v>78</v>
      </c>
      <c r="B43" s="5" t="s">
        <v>45</v>
      </c>
      <c r="C43" s="5" t="s">
        <v>83</v>
      </c>
      <c r="D43" s="6" t="s">
        <v>48</v>
      </c>
    </row>
    <row r="44" spans="1:4" ht="15.75" x14ac:dyDescent="0.25">
      <c r="A44" s="4" t="s">
        <v>78</v>
      </c>
      <c r="B44" s="5" t="s">
        <v>45</v>
      </c>
      <c r="C44" s="5" t="s">
        <v>84</v>
      </c>
      <c r="D44" s="6" t="s">
        <v>48</v>
      </c>
    </row>
    <row r="45" spans="1:4" ht="15.75" x14ac:dyDescent="0.25">
      <c r="A45" s="4" t="s">
        <v>78</v>
      </c>
      <c r="B45" s="5" t="s">
        <v>45</v>
      </c>
      <c r="C45" s="5" t="s">
        <v>85</v>
      </c>
      <c r="D45" s="6" t="s">
        <v>48</v>
      </c>
    </row>
    <row r="46" spans="1:4" ht="15.75" x14ac:dyDescent="0.25">
      <c r="A46" s="4" t="s">
        <v>78</v>
      </c>
      <c r="B46" s="5" t="s">
        <v>45</v>
      </c>
      <c r="C46" s="5" t="s">
        <v>86</v>
      </c>
      <c r="D46" s="6" t="s">
        <v>48</v>
      </c>
    </row>
    <row r="47" spans="1:4" ht="15.75" x14ac:dyDescent="0.25">
      <c r="A47" s="4" t="s">
        <v>78</v>
      </c>
      <c r="B47" s="5" t="s">
        <v>45</v>
      </c>
      <c r="C47" s="5" t="s">
        <v>87</v>
      </c>
      <c r="D47" s="6" t="s">
        <v>48</v>
      </c>
    </row>
    <row r="48" spans="1:4" ht="15.75" x14ac:dyDescent="0.25">
      <c r="A48" s="4" t="s">
        <v>78</v>
      </c>
      <c r="B48" s="5" t="s">
        <v>45</v>
      </c>
      <c r="C48" s="5" t="s">
        <v>88</v>
      </c>
      <c r="D48" s="6" t="s">
        <v>48</v>
      </c>
    </row>
    <row r="49" spans="1:4" ht="15.75" x14ac:dyDescent="0.25">
      <c r="A49" s="4" t="s">
        <v>78</v>
      </c>
      <c r="B49" s="5" t="s">
        <v>45</v>
      </c>
      <c r="C49" s="5" t="s">
        <v>89</v>
      </c>
      <c r="D49" s="6" t="s">
        <v>48</v>
      </c>
    </row>
    <row r="50" spans="1:4" ht="15.75" x14ac:dyDescent="0.25">
      <c r="A50" s="4" t="s">
        <v>78</v>
      </c>
      <c r="B50" s="5" t="s">
        <v>45</v>
      </c>
      <c r="C50" s="5" t="s">
        <v>90</v>
      </c>
      <c r="D50" s="6" t="s">
        <v>48</v>
      </c>
    </row>
    <row r="51" spans="1:4" ht="15.75" x14ac:dyDescent="0.25">
      <c r="A51" s="4" t="s">
        <v>78</v>
      </c>
      <c r="B51" s="5" t="s">
        <v>45</v>
      </c>
      <c r="C51" s="5" t="s">
        <v>91</v>
      </c>
      <c r="D51" s="6" t="s">
        <v>48</v>
      </c>
    </row>
    <row r="52" spans="1:4" ht="15.75" x14ac:dyDescent="0.25">
      <c r="A52" s="4" t="s">
        <v>78</v>
      </c>
      <c r="B52" s="5" t="s">
        <v>45</v>
      </c>
      <c r="C52" s="5" t="s">
        <v>92</v>
      </c>
      <c r="D52" s="6" t="s">
        <v>48</v>
      </c>
    </row>
    <row r="53" spans="1:4" ht="15.75" x14ac:dyDescent="0.25">
      <c r="A53" s="4" t="s">
        <v>78</v>
      </c>
      <c r="B53" s="5" t="s">
        <v>45</v>
      </c>
      <c r="C53" s="5" t="s">
        <v>93</v>
      </c>
      <c r="D53" s="6" t="s">
        <v>48</v>
      </c>
    </row>
    <row r="54" spans="1:4" ht="15.75" x14ac:dyDescent="0.25">
      <c r="A54" s="4" t="s">
        <v>78</v>
      </c>
      <c r="B54" s="5" t="s">
        <v>45</v>
      </c>
      <c r="C54" s="5" t="s">
        <v>94</v>
      </c>
      <c r="D54" s="6" t="s">
        <v>47</v>
      </c>
    </row>
    <row r="55" spans="1:4" ht="15.75" x14ac:dyDescent="0.25">
      <c r="A55" s="4" t="s">
        <v>78</v>
      </c>
      <c r="B55" s="5" t="s">
        <v>45</v>
      </c>
      <c r="C55" s="5" t="s">
        <v>95</v>
      </c>
      <c r="D55" s="6" t="s">
        <v>48</v>
      </c>
    </row>
    <row r="56" spans="1:4" ht="15.75" x14ac:dyDescent="0.25">
      <c r="A56" s="4" t="s">
        <v>78</v>
      </c>
      <c r="B56" s="5" t="s">
        <v>45</v>
      </c>
      <c r="C56" s="5" t="s">
        <v>96</v>
      </c>
      <c r="D56" s="6" t="s">
        <v>48</v>
      </c>
    </row>
    <row r="57" spans="1:4" ht="15.75" x14ac:dyDescent="0.25">
      <c r="A57" s="4" t="s">
        <v>78</v>
      </c>
      <c r="B57" s="5" t="s">
        <v>45</v>
      </c>
      <c r="C57" s="5" t="s">
        <v>97</v>
      </c>
      <c r="D57" s="6" t="s">
        <v>48</v>
      </c>
    </row>
    <row r="58" spans="1:4" ht="15.75" x14ac:dyDescent="0.25">
      <c r="A58" s="4" t="s">
        <v>78</v>
      </c>
      <c r="B58" s="5" t="s">
        <v>45</v>
      </c>
      <c r="C58" s="5" t="s">
        <v>98</v>
      </c>
      <c r="D58" s="6" t="s">
        <v>48</v>
      </c>
    </row>
    <row r="59" spans="1:4" ht="15.75" x14ac:dyDescent="0.25">
      <c r="A59" s="4" t="s">
        <v>78</v>
      </c>
      <c r="B59" s="5" t="s">
        <v>45</v>
      </c>
      <c r="C59" s="5" t="s">
        <v>99</v>
      </c>
      <c r="D59" s="6" t="s">
        <v>48</v>
      </c>
    </row>
    <row r="60" spans="1:4" ht="15.75" x14ac:dyDescent="0.25">
      <c r="A60" s="4" t="s">
        <v>78</v>
      </c>
      <c r="B60" s="5" t="s">
        <v>45</v>
      </c>
      <c r="C60" s="5" t="s">
        <v>100</v>
      </c>
      <c r="D60" s="6" t="s">
        <v>48</v>
      </c>
    </row>
    <row r="61" spans="1:4" ht="15.75" x14ac:dyDescent="0.25">
      <c r="A61" s="4" t="s">
        <v>78</v>
      </c>
      <c r="B61" s="5" t="s">
        <v>45</v>
      </c>
      <c r="C61" s="5" t="s">
        <v>101</v>
      </c>
      <c r="D61" s="6" t="s">
        <v>48</v>
      </c>
    </row>
    <row r="62" spans="1:4" ht="15.75" x14ac:dyDescent="0.25">
      <c r="A62" s="4" t="s">
        <v>78</v>
      </c>
      <c r="B62" s="5" t="s">
        <v>45</v>
      </c>
      <c r="C62" s="5" t="s">
        <v>102</v>
      </c>
      <c r="D62" s="6" t="s">
        <v>48</v>
      </c>
    </row>
    <row r="63" spans="1:4" ht="15.75" x14ac:dyDescent="0.25">
      <c r="A63" s="4" t="s">
        <v>78</v>
      </c>
      <c r="B63" s="5" t="s">
        <v>45</v>
      </c>
      <c r="C63" s="5" t="s">
        <v>103</v>
      </c>
      <c r="D63" s="6" t="s">
        <v>48</v>
      </c>
    </row>
    <row r="64" spans="1:4" ht="15.75" x14ac:dyDescent="0.25">
      <c r="A64" s="4" t="s">
        <v>78</v>
      </c>
      <c r="B64" s="5" t="s">
        <v>45</v>
      </c>
      <c r="C64" s="5" t="s">
        <v>104</v>
      </c>
      <c r="D64" s="6" t="s">
        <v>48</v>
      </c>
    </row>
    <row r="65" spans="1:4" ht="15.75" x14ac:dyDescent="0.25">
      <c r="A65" s="4" t="s">
        <v>78</v>
      </c>
      <c r="B65" s="5" t="s">
        <v>45</v>
      </c>
      <c r="C65" s="5" t="s">
        <v>105</v>
      </c>
      <c r="D65" s="6" t="s">
        <v>48</v>
      </c>
    </row>
    <row r="66" spans="1:4" ht="15.75" x14ac:dyDescent="0.25">
      <c r="A66" s="4" t="s">
        <v>78</v>
      </c>
      <c r="B66" s="5" t="s">
        <v>45</v>
      </c>
      <c r="C66" s="5" t="s">
        <v>106</v>
      </c>
      <c r="D66" s="6" t="s">
        <v>48</v>
      </c>
    </row>
    <row r="67" spans="1:4" ht="15.75" x14ac:dyDescent="0.25">
      <c r="A67" s="4" t="s">
        <v>78</v>
      </c>
      <c r="B67" s="5" t="s">
        <v>45</v>
      </c>
      <c r="C67" s="5" t="s">
        <v>107</v>
      </c>
      <c r="D67" s="6" t="s">
        <v>48</v>
      </c>
    </row>
    <row r="68" spans="1:4" ht="15.75" x14ac:dyDescent="0.25">
      <c r="A68" s="4" t="s">
        <v>78</v>
      </c>
      <c r="B68" s="5" t="s">
        <v>45</v>
      </c>
      <c r="C68" s="5" t="s">
        <v>108</v>
      </c>
      <c r="D68" s="6" t="s">
        <v>48</v>
      </c>
    </row>
    <row r="69" spans="1:4" ht="15.75" x14ac:dyDescent="0.25">
      <c r="A69" s="4" t="s">
        <v>78</v>
      </c>
      <c r="B69" s="5" t="s">
        <v>45</v>
      </c>
      <c r="C69" s="5" t="s">
        <v>109</v>
      </c>
      <c r="D69" s="6" t="s">
        <v>48</v>
      </c>
    </row>
    <row r="70" spans="1:4" ht="15.75" x14ac:dyDescent="0.25">
      <c r="A70" s="4" t="s">
        <v>78</v>
      </c>
      <c r="B70" s="5" t="s">
        <v>45</v>
      </c>
      <c r="C70" s="5" t="s">
        <v>110</v>
      </c>
      <c r="D70" s="6" t="s">
        <v>48</v>
      </c>
    </row>
    <row r="71" spans="1:4" ht="15.75" x14ac:dyDescent="0.25">
      <c r="A71" s="4" t="s">
        <v>78</v>
      </c>
      <c r="B71" s="5" t="s">
        <v>45</v>
      </c>
      <c r="C71" s="5" t="s">
        <v>111</v>
      </c>
      <c r="D71" s="6" t="s">
        <v>48</v>
      </c>
    </row>
    <row r="72" spans="1:4" ht="15.75" x14ac:dyDescent="0.25">
      <c r="A72" s="4" t="s">
        <v>78</v>
      </c>
      <c r="B72" s="5" t="s">
        <v>45</v>
      </c>
      <c r="C72" s="5" t="s">
        <v>112</v>
      </c>
      <c r="D72" s="6" t="s">
        <v>48</v>
      </c>
    </row>
    <row r="73" spans="1:4" ht="15.75" x14ac:dyDescent="0.25">
      <c r="A73" s="4" t="s">
        <v>78</v>
      </c>
      <c r="B73" s="5" t="s">
        <v>45</v>
      </c>
      <c r="C73" s="5" t="s">
        <v>113</v>
      </c>
      <c r="D73" s="6" t="s">
        <v>48</v>
      </c>
    </row>
    <row r="74" spans="1:4" ht="15.75" x14ac:dyDescent="0.25">
      <c r="A74" s="4" t="s">
        <v>114</v>
      </c>
      <c r="B74" s="5" t="s">
        <v>45</v>
      </c>
      <c r="C74" s="5" t="s">
        <v>115</v>
      </c>
      <c r="D74" s="6" t="s">
        <v>46</v>
      </c>
    </row>
    <row r="75" spans="1:4" ht="15.75" x14ac:dyDescent="0.25">
      <c r="A75" s="4" t="s">
        <v>114</v>
      </c>
      <c r="B75" s="5" t="s">
        <v>45</v>
      </c>
      <c r="C75" s="5" t="s">
        <v>353</v>
      </c>
      <c r="D75" s="6" t="s">
        <v>47</v>
      </c>
    </row>
    <row r="76" spans="1:4" ht="15.75" x14ac:dyDescent="0.25">
      <c r="A76" s="4" t="s">
        <v>114</v>
      </c>
      <c r="B76" s="5" t="s">
        <v>45</v>
      </c>
      <c r="C76" s="5" t="s">
        <v>354</v>
      </c>
      <c r="D76" s="6" t="s">
        <v>47</v>
      </c>
    </row>
    <row r="77" spans="1:4" ht="15.75" x14ac:dyDescent="0.25">
      <c r="A77" s="4" t="s">
        <v>114</v>
      </c>
      <c r="B77" s="5" t="s">
        <v>45</v>
      </c>
      <c r="C77" s="5" t="s">
        <v>355</v>
      </c>
      <c r="D77" s="6" t="s">
        <v>48</v>
      </c>
    </row>
    <row r="78" spans="1:4" ht="15.75" x14ac:dyDescent="0.25">
      <c r="A78" s="4" t="s">
        <v>114</v>
      </c>
      <c r="B78" s="5" t="s">
        <v>45</v>
      </c>
      <c r="C78" s="5" t="s">
        <v>371</v>
      </c>
      <c r="D78" s="6" t="s">
        <v>47</v>
      </c>
    </row>
    <row r="79" spans="1:4" ht="15.75" x14ac:dyDescent="0.25">
      <c r="A79" s="4" t="s">
        <v>114</v>
      </c>
      <c r="B79" s="5" t="s">
        <v>45</v>
      </c>
      <c r="C79" s="5" t="s">
        <v>356</v>
      </c>
      <c r="D79" s="6" t="s">
        <v>48</v>
      </c>
    </row>
    <row r="80" spans="1:4" ht="15.75" x14ac:dyDescent="0.25">
      <c r="A80" s="4" t="s">
        <v>114</v>
      </c>
      <c r="B80" s="5" t="s">
        <v>45</v>
      </c>
      <c r="C80" s="5" t="s">
        <v>357</v>
      </c>
      <c r="D80" s="6" t="s">
        <v>48</v>
      </c>
    </row>
    <row r="81" spans="1:4" ht="15.75" x14ac:dyDescent="0.25">
      <c r="A81" s="4" t="s">
        <v>114</v>
      </c>
      <c r="B81" s="5" t="s">
        <v>45</v>
      </c>
      <c r="C81" s="5" t="s">
        <v>358</v>
      </c>
      <c r="D81" s="6" t="s">
        <v>48</v>
      </c>
    </row>
    <row r="82" spans="1:4" ht="15.75" x14ac:dyDescent="0.25">
      <c r="A82" s="4" t="s">
        <v>114</v>
      </c>
      <c r="B82" s="5" t="s">
        <v>45</v>
      </c>
      <c r="C82" s="5" t="s">
        <v>359</v>
      </c>
      <c r="D82" s="6" t="s">
        <v>48</v>
      </c>
    </row>
    <row r="83" spans="1:4" ht="15.75" x14ac:dyDescent="0.25">
      <c r="A83" s="4" t="s">
        <v>114</v>
      </c>
      <c r="B83" s="5" t="s">
        <v>45</v>
      </c>
      <c r="C83" s="5" t="s">
        <v>116</v>
      </c>
      <c r="D83" s="6" t="s">
        <v>48</v>
      </c>
    </row>
    <row r="84" spans="1:4" ht="15.75" x14ac:dyDescent="0.25">
      <c r="A84" s="4" t="s">
        <v>114</v>
      </c>
      <c r="B84" s="5" t="s">
        <v>45</v>
      </c>
      <c r="C84" s="5" t="s">
        <v>117</v>
      </c>
      <c r="D84" s="6" t="s">
        <v>48</v>
      </c>
    </row>
    <row r="85" spans="1:4" ht="15.75" x14ac:dyDescent="0.25">
      <c r="A85" s="4" t="s">
        <v>114</v>
      </c>
      <c r="B85" s="5" t="s">
        <v>45</v>
      </c>
      <c r="C85" s="5" t="s">
        <v>118</v>
      </c>
      <c r="D85" s="6" t="s">
        <v>48</v>
      </c>
    </row>
    <row r="86" spans="1:4" ht="15.75" x14ac:dyDescent="0.25">
      <c r="A86" s="4" t="s">
        <v>114</v>
      </c>
      <c r="B86" s="5" t="s">
        <v>45</v>
      </c>
      <c r="C86" s="5" t="s">
        <v>119</v>
      </c>
      <c r="D86" s="6" t="s">
        <v>48</v>
      </c>
    </row>
    <row r="87" spans="1:4" ht="15.75" x14ac:dyDescent="0.25">
      <c r="A87" s="4" t="s">
        <v>114</v>
      </c>
      <c r="B87" s="5" t="s">
        <v>45</v>
      </c>
      <c r="C87" s="5" t="s">
        <v>120</v>
      </c>
      <c r="D87" s="6" t="s">
        <v>48</v>
      </c>
    </row>
    <row r="88" spans="1:4" ht="15.75" x14ac:dyDescent="0.25">
      <c r="A88" s="4" t="s">
        <v>114</v>
      </c>
      <c r="B88" s="5" t="s">
        <v>45</v>
      </c>
      <c r="C88" s="5" t="s">
        <v>121</v>
      </c>
      <c r="D88" s="6" t="s">
        <v>48</v>
      </c>
    </row>
    <row r="89" spans="1:4" ht="15.75" x14ac:dyDescent="0.25">
      <c r="A89" s="4" t="s">
        <v>114</v>
      </c>
      <c r="B89" s="5" t="s">
        <v>45</v>
      </c>
      <c r="C89" s="5" t="s">
        <v>122</v>
      </c>
      <c r="D89" s="6" t="s">
        <v>48</v>
      </c>
    </row>
    <row r="90" spans="1:4" ht="15.75" x14ac:dyDescent="0.25">
      <c r="A90" s="4" t="s">
        <v>114</v>
      </c>
      <c r="B90" s="5" t="s">
        <v>45</v>
      </c>
      <c r="C90" s="5" t="s">
        <v>123</v>
      </c>
      <c r="D90" s="6" t="s">
        <v>48</v>
      </c>
    </row>
    <row r="91" spans="1:4" ht="15.75" x14ac:dyDescent="0.25">
      <c r="A91" s="4" t="s">
        <v>114</v>
      </c>
      <c r="B91" s="5" t="s">
        <v>45</v>
      </c>
      <c r="C91" s="5" t="s">
        <v>124</v>
      </c>
      <c r="D91" s="6" t="s">
        <v>48</v>
      </c>
    </row>
    <row r="92" spans="1:4" ht="15.75" x14ac:dyDescent="0.25">
      <c r="A92" s="4" t="s">
        <v>114</v>
      </c>
      <c r="B92" s="5" t="s">
        <v>45</v>
      </c>
      <c r="C92" s="5" t="s">
        <v>125</v>
      </c>
      <c r="D92" s="6" t="s">
        <v>48</v>
      </c>
    </row>
    <row r="93" spans="1:4" ht="15.75" x14ac:dyDescent="0.25">
      <c r="A93" s="4" t="s">
        <v>114</v>
      </c>
      <c r="B93" s="5" t="s">
        <v>45</v>
      </c>
      <c r="C93" s="5" t="s">
        <v>126</v>
      </c>
      <c r="D93" s="6" t="s">
        <v>48</v>
      </c>
    </row>
    <row r="94" spans="1:4" ht="15.75" x14ac:dyDescent="0.25">
      <c r="A94" s="4" t="s">
        <v>114</v>
      </c>
      <c r="B94" s="5" t="s">
        <v>45</v>
      </c>
      <c r="C94" s="5" t="s">
        <v>127</v>
      </c>
      <c r="D94" s="6" t="s">
        <v>48</v>
      </c>
    </row>
    <row r="95" spans="1:4" ht="15.75" x14ac:dyDescent="0.25">
      <c r="A95" s="4" t="s">
        <v>114</v>
      </c>
      <c r="B95" s="5" t="s">
        <v>45</v>
      </c>
      <c r="C95" s="5" t="s">
        <v>128</v>
      </c>
      <c r="D95" s="6" t="s">
        <v>48</v>
      </c>
    </row>
    <row r="96" spans="1:4" ht="15.75" x14ac:dyDescent="0.25">
      <c r="A96" s="4" t="s">
        <v>114</v>
      </c>
      <c r="B96" s="5" t="s">
        <v>45</v>
      </c>
      <c r="C96" s="5" t="s">
        <v>129</v>
      </c>
      <c r="D96" s="6" t="s">
        <v>48</v>
      </c>
    </row>
    <row r="97" spans="1:4" ht="15.75" x14ac:dyDescent="0.25">
      <c r="A97" s="4" t="s">
        <v>114</v>
      </c>
      <c r="B97" s="5" t="s">
        <v>45</v>
      </c>
      <c r="C97" s="5" t="s">
        <v>130</v>
      </c>
      <c r="D97" s="6" t="s">
        <v>48</v>
      </c>
    </row>
    <row r="98" spans="1:4" ht="15.75" x14ac:dyDescent="0.25">
      <c r="A98" s="4" t="s">
        <v>114</v>
      </c>
      <c r="B98" s="5" t="s">
        <v>49</v>
      </c>
      <c r="C98" s="5" t="s">
        <v>131</v>
      </c>
      <c r="D98" s="6" t="s">
        <v>47</v>
      </c>
    </row>
    <row r="99" spans="1:4" ht="15.75" x14ac:dyDescent="0.25">
      <c r="A99" s="4" t="s">
        <v>114</v>
      </c>
      <c r="B99" s="5" t="s">
        <v>49</v>
      </c>
      <c r="C99" s="5" t="s">
        <v>132</v>
      </c>
      <c r="D99" s="6" t="s">
        <v>46</v>
      </c>
    </row>
    <row r="100" spans="1:4" ht="15.75" x14ac:dyDescent="0.25">
      <c r="A100" s="4" t="s">
        <v>114</v>
      </c>
      <c r="B100" s="5" t="s">
        <v>49</v>
      </c>
      <c r="C100" s="5" t="s">
        <v>366</v>
      </c>
      <c r="D100" s="6" t="s">
        <v>47</v>
      </c>
    </row>
    <row r="101" spans="1:4" ht="15.75" x14ac:dyDescent="0.25">
      <c r="A101" s="4" t="s">
        <v>114</v>
      </c>
      <c r="B101" s="5" t="s">
        <v>49</v>
      </c>
      <c r="C101" s="5" t="s">
        <v>133</v>
      </c>
      <c r="D101" s="6" t="s">
        <v>48</v>
      </c>
    </row>
    <row r="102" spans="1:4" ht="15.75" x14ac:dyDescent="0.25">
      <c r="A102" s="4" t="s">
        <v>114</v>
      </c>
      <c r="B102" s="5" t="s">
        <v>49</v>
      </c>
      <c r="C102" s="5" t="s">
        <v>134</v>
      </c>
      <c r="D102" s="6" t="s">
        <v>48</v>
      </c>
    </row>
    <row r="103" spans="1:4" ht="15.75" x14ac:dyDescent="0.25">
      <c r="A103" s="4" t="s">
        <v>114</v>
      </c>
      <c r="B103" s="5" t="s">
        <v>49</v>
      </c>
      <c r="C103" s="5" t="s">
        <v>135</v>
      </c>
      <c r="D103" s="6" t="s">
        <v>48</v>
      </c>
    </row>
    <row r="104" spans="1:4" ht="15.75" x14ac:dyDescent="0.25">
      <c r="A104" s="4" t="s">
        <v>114</v>
      </c>
      <c r="B104" s="5" t="s">
        <v>49</v>
      </c>
      <c r="C104" s="5" t="s">
        <v>136</v>
      </c>
      <c r="D104" s="6" t="s">
        <v>48</v>
      </c>
    </row>
    <row r="105" spans="1:4" ht="15.75" x14ac:dyDescent="0.25">
      <c r="A105" s="4" t="s">
        <v>114</v>
      </c>
      <c r="B105" s="5" t="s">
        <v>49</v>
      </c>
      <c r="C105" s="5" t="s">
        <v>137</v>
      </c>
      <c r="D105" s="6" t="s">
        <v>48</v>
      </c>
    </row>
    <row r="106" spans="1:4" ht="15.75" x14ac:dyDescent="0.25">
      <c r="A106" s="4" t="s">
        <v>114</v>
      </c>
      <c r="B106" s="5" t="s">
        <v>49</v>
      </c>
      <c r="C106" s="5" t="s">
        <v>138</v>
      </c>
      <c r="D106" s="6" t="s">
        <v>48</v>
      </c>
    </row>
    <row r="107" spans="1:4" ht="15.75" x14ac:dyDescent="0.25">
      <c r="A107" s="4" t="s">
        <v>114</v>
      </c>
      <c r="B107" s="5" t="s">
        <v>49</v>
      </c>
      <c r="C107" s="5" t="s">
        <v>139</v>
      </c>
      <c r="D107" s="6" t="s">
        <v>48</v>
      </c>
    </row>
    <row r="108" spans="1:4" ht="15.75" x14ac:dyDescent="0.25">
      <c r="A108" s="4" t="s">
        <v>114</v>
      </c>
      <c r="B108" s="5" t="s">
        <v>49</v>
      </c>
      <c r="C108" s="5" t="s">
        <v>140</v>
      </c>
      <c r="D108" s="6" t="s">
        <v>48</v>
      </c>
    </row>
    <row r="109" spans="1:4" ht="15.75" x14ac:dyDescent="0.25">
      <c r="A109" s="4" t="s">
        <v>114</v>
      </c>
      <c r="B109" s="5" t="s">
        <v>49</v>
      </c>
      <c r="C109" s="5" t="s">
        <v>141</v>
      </c>
      <c r="D109" s="6" t="s">
        <v>48</v>
      </c>
    </row>
    <row r="110" spans="1:4" ht="15.75" x14ac:dyDescent="0.25">
      <c r="A110" s="4" t="s">
        <v>114</v>
      </c>
      <c r="B110" s="5" t="s">
        <v>49</v>
      </c>
      <c r="C110" s="5" t="s">
        <v>142</v>
      </c>
      <c r="D110" s="6" t="s">
        <v>48</v>
      </c>
    </row>
    <row r="111" spans="1:4" ht="15.75" x14ac:dyDescent="0.25">
      <c r="A111" s="4" t="s">
        <v>114</v>
      </c>
      <c r="B111" s="5" t="s">
        <v>49</v>
      </c>
      <c r="C111" s="5" t="s">
        <v>143</v>
      </c>
      <c r="D111" s="6" t="s">
        <v>48</v>
      </c>
    </row>
    <row r="112" spans="1:4" ht="15.75" x14ac:dyDescent="0.25">
      <c r="A112" s="4" t="s">
        <v>114</v>
      </c>
      <c r="B112" s="5" t="s">
        <v>49</v>
      </c>
      <c r="C112" s="5" t="s">
        <v>144</v>
      </c>
      <c r="D112" s="6" t="s">
        <v>48</v>
      </c>
    </row>
    <row r="113" spans="1:4" ht="15.75" x14ac:dyDescent="0.25">
      <c r="A113" s="4" t="s">
        <v>114</v>
      </c>
      <c r="B113" s="5" t="s">
        <v>49</v>
      </c>
      <c r="C113" s="5" t="s">
        <v>145</v>
      </c>
      <c r="D113" s="6" t="s">
        <v>48</v>
      </c>
    </row>
    <row r="114" spans="1:4" ht="15.75" x14ac:dyDescent="0.25">
      <c r="A114" s="4" t="s">
        <v>114</v>
      </c>
      <c r="B114" s="5" t="s">
        <v>49</v>
      </c>
      <c r="C114" s="5" t="s">
        <v>146</v>
      </c>
      <c r="D114" s="6" t="s">
        <v>48</v>
      </c>
    </row>
    <row r="115" spans="1:4" ht="15.75" x14ac:dyDescent="0.25">
      <c r="A115" s="4" t="s">
        <v>114</v>
      </c>
      <c r="B115" s="5" t="s">
        <v>49</v>
      </c>
      <c r="C115" s="5" t="s">
        <v>147</v>
      </c>
      <c r="D115" s="6" t="s">
        <v>48</v>
      </c>
    </row>
    <row r="116" spans="1:4" ht="15.75" x14ac:dyDescent="0.25">
      <c r="A116" s="4" t="s">
        <v>114</v>
      </c>
      <c r="B116" s="5" t="s">
        <v>49</v>
      </c>
      <c r="C116" s="5" t="s">
        <v>148</v>
      </c>
      <c r="D116" s="6" t="s">
        <v>48</v>
      </c>
    </row>
    <row r="117" spans="1:4" ht="15.75" x14ac:dyDescent="0.25">
      <c r="A117" s="4" t="s">
        <v>114</v>
      </c>
      <c r="B117" s="5" t="s">
        <v>49</v>
      </c>
      <c r="C117" s="5" t="s">
        <v>149</v>
      </c>
      <c r="D117" s="6" t="s">
        <v>48</v>
      </c>
    </row>
    <row r="118" spans="1:4" ht="15.75" x14ac:dyDescent="0.25">
      <c r="A118" s="4" t="s">
        <v>114</v>
      </c>
      <c r="B118" s="5" t="s">
        <v>49</v>
      </c>
      <c r="C118" s="5" t="s">
        <v>150</v>
      </c>
      <c r="D118" s="6" t="s">
        <v>48</v>
      </c>
    </row>
    <row r="119" spans="1:4" ht="15.75" x14ac:dyDescent="0.25">
      <c r="A119" s="4" t="s">
        <v>114</v>
      </c>
      <c r="B119" s="5" t="s">
        <v>49</v>
      </c>
      <c r="C119" s="5" t="s">
        <v>151</v>
      </c>
      <c r="D119" s="6" t="s">
        <v>48</v>
      </c>
    </row>
    <row r="120" spans="1:4" ht="15.75" x14ac:dyDescent="0.25">
      <c r="A120" s="4" t="s">
        <v>114</v>
      </c>
      <c r="B120" s="5" t="s">
        <v>49</v>
      </c>
      <c r="C120" s="5" t="s">
        <v>152</v>
      </c>
      <c r="D120" s="6" t="s">
        <v>48</v>
      </c>
    </row>
    <row r="121" spans="1:4" ht="15.75" x14ac:dyDescent="0.25">
      <c r="A121" s="4" t="s">
        <v>114</v>
      </c>
      <c r="B121" s="5" t="s">
        <v>69</v>
      </c>
      <c r="C121" s="5" t="s">
        <v>153</v>
      </c>
      <c r="D121" s="6" t="s">
        <v>48</v>
      </c>
    </row>
    <row r="122" spans="1:4" ht="15.75" x14ac:dyDescent="0.25">
      <c r="A122" s="4" t="s">
        <v>114</v>
      </c>
      <c r="B122" s="5" t="s">
        <v>69</v>
      </c>
      <c r="C122" s="5" t="s">
        <v>154</v>
      </c>
      <c r="D122" s="6" t="s">
        <v>48</v>
      </c>
    </row>
    <row r="123" spans="1:4" ht="15.75" x14ac:dyDescent="0.25">
      <c r="A123" s="4" t="s">
        <v>114</v>
      </c>
      <c r="B123" s="5" t="s">
        <v>69</v>
      </c>
      <c r="C123" s="5" t="s">
        <v>155</v>
      </c>
      <c r="D123" s="6" t="s">
        <v>48</v>
      </c>
    </row>
    <row r="124" spans="1:4" ht="15.75" x14ac:dyDescent="0.25">
      <c r="A124" s="4" t="s">
        <v>114</v>
      </c>
      <c r="B124" s="5" t="s">
        <v>69</v>
      </c>
      <c r="C124" s="5" t="s">
        <v>156</v>
      </c>
      <c r="D124" s="6" t="s">
        <v>48</v>
      </c>
    </row>
    <row r="125" spans="1:4" ht="15.75" x14ac:dyDescent="0.25">
      <c r="A125" s="4" t="s">
        <v>114</v>
      </c>
      <c r="B125" s="5" t="s">
        <v>69</v>
      </c>
      <c r="C125" s="5" t="s">
        <v>157</v>
      </c>
      <c r="D125" s="6" t="s">
        <v>48</v>
      </c>
    </row>
    <row r="126" spans="1:4" ht="15.75" x14ac:dyDescent="0.25">
      <c r="A126" s="4" t="s">
        <v>114</v>
      </c>
      <c r="B126" s="5" t="s">
        <v>69</v>
      </c>
      <c r="C126" s="5" t="s">
        <v>158</v>
      </c>
      <c r="D126" s="6" t="s">
        <v>48</v>
      </c>
    </row>
    <row r="127" spans="1:4" ht="15.75" x14ac:dyDescent="0.25">
      <c r="A127" s="4" t="s">
        <v>114</v>
      </c>
      <c r="B127" s="5" t="s">
        <v>69</v>
      </c>
      <c r="C127" s="5" t="s">
        <v>159</v>
      </c>
      <c r="D127" s="6" t="s">
        <v>48</v>
      </c>
    </row>
    <row r="128" spans="1:4" ht="15.75" x14ac:dyDescent="0.25">
      <c r="A128" s="4" t="s">
        <v>114</v>
      </c>
      <c r="B128" s="5" t="s">
        <v>69</v>
      </c>
      <c r="C128" s="5" t="s">
        <v>160</v>
      </c>
      <c r="D128" s="6" t="s">
        <v>48</v>
      </c>
    </row>
    <row r="129" spans="1:4" ht="15.75" x14ac:dyDescent="0.25">
      <c r="A129" s="4" t="s">
        <v>114</v>
      </c>
      <c r="B129" s="5" t="s">
        <v>69</v>
      </c>
      <c r="C129" s="5" t="s">
        <v>161</v>
      </c>
      <c r="D129" s="6" t="s">
        <v>48</v>
      </c>
    </row>
    <row r="130" spans="1:4" ht="15.75" x14ac:dyDescent="0.25">
      <c r="A130" s="4" t="s">
        <v>114</v>
      </c>
      <c r="B130" s="5" t="s">
        <v>69</v>
      </c>
      <c r="C130" s="5" t="s">
        <v>162</v>
      </c>
      <c r="D130" s="6" t="s">
        <v>48</v>
      </c>
    </row>
    <row r="131" spans="1:4" ht="15.75" x14ac:dyDescent="0.25">
      <c r="A131" s="4" t="s">
        <v>114</v>
      </c>
      <c r="B131" s="5" t="s">
        <v>69</v>
      </c>
      <c r="C131" s="5" t="s">
        <v>163</v>
      </c>
      <c r="D131" s="6" t="s">
        <v>48</v>
      </c>
    </row>
    <row r="132" spans="1:4" ht="15.75" x14ac:dyDescent="0.25">
      <c r="A132" s="4" t="s">
        <v>114</v>
      </c>
      <c r="B132" s="5" t="s">
        <v>69</v>
      </c>
      <c r="C132" s="5" t="s">
        <v>164</v>
      </c>
      <c r="D132" s="6" t="s">
        <v>48</v>
      </c>
    </row>
    <row r="133" spans="1:4" ht="15.75" x14ac:dyDescent="0.25">
      <c r="A133" s="4" t="s">
        <v>114</v>
      </c>
      <c r="B133" s="5" t="s">
        <v>69</v>
      </c>
      <c r="C133" s="5" t="s">
        <v>165</v>
      </c>
      <c r="D133" s="6" t="s">
        <v>48</v>
      </c>
    </row>
    <row r="134" spans="1:4" ht="15.75" x14ac:dyDescent="0.25">
      <c r="A134" s="4" t="s">
        <v>114</v>
      </c>
      <c r="B134" s="5" t="s">
        <v>69</v>
      </c>
      <c r="C134" s="5" t="s">
        <v>166</v>
      </c>
      <c r="D134" s="6" t="s">
        <v>48</v>
      </c>
    </row>
    <row r="135" spans="1:4" ht="15.75" x14ac:dyDescent="0.25">
      <c r="A135" s="4" t="s">
        <v>114</v>
      </c>
      <c r="B135" s="5" t="s">
        <v>69</v>
      </c>
      <c r="C135" s="5" t="s">
        <v>167</v>
      </c>
      <c r="D135" s="6" t="s">
        <v>48</v>
      </c>
    </row>
    <row r="136" spans="1:4" ht="15.75" x14ac:dyDescent="0.25">
      <c r="A136" s="4" t="s">
        <v>114</v>
      </c>
      <c r="B136" s="5" t="s">
        <v>69</v>
      </c>
      <c r="C136" s="5" t="s">
        <v>168</v>
      </c>
      <c r="D136" s="6" t="s">
        <v>48</v>
      </c>
    </row>
    <row r="137" spans="1:4" ht="15.75" x14ac:dyDescent="0.25">
      <c r="A137" s="4" t="s">
        <v>114</v>
      </c>
      <c r="B137" s="5" t="s">
        <v>69</v>
      </c>
      <c r="C137" s="5" t="s">
        <v>169</v>
      </c>
      <c r="D137" s="6" t="s">
        <v>48</v>
      </c>
    </row>
    <row r="138" spans="1:4" ht="15.75" x14ac:dyDescent="0.25">
      <c r="A138" s="4" t="s">
        <v>114</v>
      </c>
      <c r="B138" s="5" t="s">
        <v>69</v>
      </c>
      <c r="C138" s="5" t="s">
        <v>170</v>
      </c>
      <c r="D138" s="6" t="s">
        <v>48</v>
      </c>
    </row>
    <row r="139" spans="1:4" ht="15.75" x14ac:dyDescent="0.25">
      <c r="A139" s="4" t="s">
        <v>171</v>
      </c>
      <c r="B139" s="5" t="s">
        <v>45</v>
      </c>
      <c r="C139" s="5" t="s">
        <v>172</v>
      </c>
      <c r="D139" s="6" t="s">
        <v>48</v>
      </c>
    </row>
    <row r="140" spans="1:4" ht="15.75" x14ac:dyDescent="0.25">
      <c r="A140" s="4" t="s">
        <v>171</v>
      </c>
      <c r="B140" s="5" t="s">
        <v>45</v>
      </c>
      <c r="C140" s="5" t="s">
        <v>173</v>
      </c>
      <c r="D140" s="6" t="s">
        <v>48</v>
      </c>
    </row>
    <row r="141" spans="1:4" ht="15.75" x14ac:dyDescent="0.25">
      <c r="A141" s="4" t="s">
        <v>171</v>
      </c>
      <c r="B141" s="5" t="s">
        <v>45</v>
      </c>
      <c r="C141" s="5" t="s">
        <v>174</v>
      </c>
      <c r="D141" s="6" t="s">
        <v>48</v>
      </c>
    </row>
    <row r="142" spans="1:4" ht="15.75" x14ac:dyDescent="0.25">
      <c r="A142" s="4" t="s">
        <v>171</v>
      </c>
      <c r="B142" s="5" t="s">
        <v>45</v>
      </c>
      <c r="C142" s="5" t="s">
        <v>175</v>
      </c>
      <c r="D142" s="6" t="s">
        <v>48</v>
      </c>
    </row>
    <row r="143" spans="1:4" ht="15.75" x14ac:dyDescent="0.25">
      <c r="A143" s="4" t="s">
        <v>171</v>
      </c>
      <c r="B143" s="5" t="s">
        <v>45</v>
      </c>
      <c r="C143" s="5" t="s">
        <v>176</v>
      </c>
      <c r="D143" s="6" t="s">
        <v>48</v>
      </c>
    </row>
    <row r="144" spans="1:4" ht="15.75" x14ac:dyDescent="0.25">
      <c r="A144" s="4" t="s">
        <v>171</v>
      </c>
      <c r="B144" s="5" t="s">
        <v>45</v>
      </c>
      <c r="C144" s="5" t="s">
        <v>177</v>
      </c>
      <c r="D144" s="6" t="s">
        <v>48</v>
      </c>
    </row>
    <row r="145" spans="1:4" ht="15.75" x14ac:dyDescent="0.25">
      <c r="A145" s="4" t="s">
        <v>171</v>
      </c>
      <c r="B145" s="5" t="s">
        <v>45</v>
      </c>
      <c r="C145" s="5" t="s">
        <v>178</v>
      </c>
      <c r="D145" s="6" t="s">
        <v>48</v>
      </c>
    </row>
    <row r="146" spans="1:4" ht="15.75" x14ac:dyDescent="0.25">
      <c r="A146" s="4" t="s">
        <v>171</v>
      </c>
      <c r="B146" s="5" t="s">
        <v>45</v>
      </c>
      <c r="C146" s="5" t="s">
        <v>179</v>
      </c>
      <c r="D146" s="6" t="s">
        <v>48</v>
      </c>
    </row>
    <row r="147" spans="1:4" ht="15.75" x14ac:dyDescent="0.25">
      <c r="A147" s="4" t="s">
        <v>171</v>
      </c>
      <c r="B147" s="5" t="s">
        <v>49</v>
      </c>
      <c r="C147" s="5" t="s">
        <v>180</v>
      </c>
      <c r="D147" s="6" t="s">
        <v>48</v>
      </c>
    </row>
    <row r="148" spans="1:4" ht="15.75" x14ac:dyDescent="0.25">
      <c r="A148" s="4" t="s">
        <v>171</v>
      </c>
      <c r="B148" s="5" t="s">
        <v>49</v>
      </c>
      <c r="C148" s="5" t="s">
        <v>181</v>
      </c>
      <c r="D148" s="6" t="s">
        <v>48</v>
      </c>
    </row>
    <row r="149" spans="1:4" ht="15.75" x14ac:dyDescent="0.25">
      <c r="A149" s="4" t="s">
        <v>171</v>
      </c>
      <c r="B149" s="5" t="s">
        <v>49</v>
      </c>
      <c r="C149" s="5" t="s">
        <v>182</v>
      </c>
      <c r="D149" s="6" t="s">
        <v>48</v>
      </c>
    </row>
    <row r="150" spans="1:4" ht="15.75" x14ac:dyDescent="0.25">
      <c r="A150" s="4" t="s">
        <v>171</v>
      </c>
      <c r="B150" s="5" t="s">
        <v>49</v>
      </c>
      <c r="C150" s="5" t="s">
        <v>183</v>
      </c>
      <c r="D150" s="6" t="s">
        <v>48</v>
      </c>
    </row>
    <row r="151" spans="1:4" ht="15.75" x14ac:dyDescent="0.25">
      <c r="A151" s="4" t="s">
        <v>171</v>
      </c>
      <c r="B151" s="5" t="s">
        <v>49</v>
      </c>
      <c r="C151" s="5" t="s">
        <v>184</v>
      </c>
      <c r="D151" s="6" t="s">
        <v>48</v>
      </c>
    </row>
    <row r="152" spans="1:4" ht="15.75" x14ac:dyDescent="0.25">
      <c r="A152" s="4" t="s">
        <v>171</v>
      </c>
      <c r="B152" s="5" t="s">
        <v>49</v>
      </c>
      <c r="C152" s="5" t="s">
        <v>185</v>
      </c>
      <c r="D152" s="6" t="s">
        <v>48</v>
      </c>
    </row>
    <row r="153" spans="1:4" ht="15.75" x14ac:dyDescent="0.25">
      <c r="A153" s="4" t="s">
        <v>171</v>
      </c>
      <c r="B153" s="5" t="s">
        <v>49</v>
      </c>
      <c r="C153" s="5" t="s">
        <v>186</v>
      </c>
      <c r="D153" s="6" t="s">
        <v>48</v>
      </c>
    </row>
    <row r="154" spans="1:4" ht="15.75" x14ac:dyDescent="0.25">
      <c r="A154" s="4" t="s">
        <v>171</v>
      </c>
      <c r="B154" s="5" t="s">
        <v>49</v>
      </c>
      <c r="C154" s="5" t="s">
        <v>372</v>
      </c>
      <c r="D154" s="6" t="s">
        <v>48</v>
      </c>
    </row>
    <row r="155" spans="1:4" ht="15.75" x14ac:dyDescent="0.25">
      <c r="A155" s="4" t="s">
        <v>171</v>
      </c>
      <c r="B155" s="5" t="s">
        <v>49</v>
      </c>
      <c r="C155" s="5" t="s">
        <v>187</v>
      </c>
      <c r="D155" s="6" t="s">
        <v>48</v>
      </c>
    </row>
    <row r="156" spans="1:4" ht="15.75" x14ac:dyDescent="0.25">
      <c r="A156" s="4" t="s">
        <v>171</v>
      </c>
      <c r="B156" s="5" t="s">
        <v>49</v>
      </c>
      <c r="C156" s="5" t="s">
        <v>188</v>
      </c>
      <c r="D156" s="6" t="s">
        <v>48</v>
      </c>
    </row>
    <row r="157" spans="1:4" ht="15.75" x14ac:dyDescent="0.25">
      <c r="A157" s="4" t="s">
        <v>171</v>
      </c>
      <c r="B157" s="5" t="s">
        <v>49</v>
      </c>
      <c r="C157" s="5" t="s">
        <v>189</v>
      </c>
      <c r="D157" s="6" t="s">
        <v>48</v>
      </c>
    </row>
    <row r="158" spans="1:4" ht="15.75" x14ac:dyDescent="0.25">
      <c r="A158" s="4" t="s">
        <v>171</v>
      </c>
      <c r="B158" s="5" t="s">
        <v>49</v>
      </c>
      <c r="C158" s="5" t="s">
        <v>190</v>
      </c>
      <c r="D158" s="6" t="s">
        <v>48</v>
      </c>
    </row>
    <row r="159" spans="1:4" ht="15.75" x14ac:dyDescent="0.25">
      <c r="A159" s="4" t="s">
        <v>171</v>
      </c>
      <c r="B159" s="5" t="s">
        <v>49</v>
      </c>
      <c r="C159" s="5" t="s">
        <v>191</v>
      </c>
      <c r="D159" s="6" t="s">
        <v>48</v>
      </c>
    </row>
    <row r="160" spans="1:4" ht="15.75" x14ac:dyDescent="0.25">
      <c r="A160" s="4" t="s">
        <v>171</v>
      </c>
      <c r="B160" s="5" t="s">
        <v>69</v>
      </c>
      <c r="C160" s="5" t="s">
        <v>192</v>
      </c>
      <c r="D160" s="6" t="s">
        <v>47</v>
      </c>
    </row>
    <row r="161" spans="1:4" ht="15.75" x14ac:dyDescent="0.25">
      <c r="A161" s="4" t="s">
        <v>171</v>
      </c>
      <c r="B161" s="5" t="s">
        <v>69</v>
      </c>
      <c r="C161" s="5" t="s">
        <v>193</v>
      </c>
      <c r="D161" s="6" t="s">
        <v>48</v>
      </c>
    </row>
    <row r="162" spans="1:4" ht="15.75" x14ac:dyDescent="0.25">
      <c r="A162" s="4" t="s">
        <v>171</v>
      </c>
      <c r="B162" s="5" t="s">
        <v>69</v>
      </c>
      <c r="C162" s="5" t="s">
        <v>194</v>
      </c>
      <c r="D162" s="6" t="s">
        <v>48</v>
      </c>
    </row>
    <row r="163" spans="1:4" ht="15.75" x14ac:dyDescent="0.25">
      <c r="A163" s="4" t="s">
        <v>171</v>
      </c>
      <c r="B163" s="5" t="s">
        <v>69</v>
      </c>
      <c r="C163" s="5" t="s">
        <v>195</v>
      </c>
      <c r="D163" s="6" t="s">
        <v>48</v>
      </c>
    </row>
    <row r="164" spans="1:4" ht="15.75" x14ac:dyDescent="0.25">
      <c r="A164" s="4" t="s">
        <v>171</v>
      </c>
      <c r="B164" s="5" t="s">
        <v>69</v>
      </c>
      <c r="C164" s="5" t="s">
        <v>196</v>
      </c>
      <c r="D164" s="6" t="s">
        <v>48</v>
      </c>
    </row>
    <row r="165" spans="1:4" ht="15.75" x14ac:dyDescent="0.25">
      <c r="A165" s="4" t="s">
        <v>171</v>
      </c>
      <c r="B165" s="5" t="s">
        <v>69</v>
      </c>
      <c r="C165" s="5" t="s">
        <v>197</v>
      </c>
      <c r="D165" s="6" t="s">
        <v>48</v>
      </c>
    </row>
    <row r="166" spans="1:4" ht="15.75" x14ac:dyDescent="0.25">
      <c r="A166" s="4" t="s">
        <v>171</v>
      </c>
      <c r="B166" s="5" t="s">
        <v>69</v>
      </c>
      <c r="C166" s="5" t="s">
        <v>198</v>
      </c>
      <c r="D166" s="6" t="s">
        <v>48</v>
      </c>
    </row>
    <row r="167" spans="1:4" ht="15.75" x14ac:dyDescent="0.25">
      <c r="A167" s="4" t="s">
        <v>171</v>
      </c>
      <c r="B167" s="5" t="s">
        <v>69</v>
      </c>
      <c r="C167" s="5" t="s">
        <v>199</v>
      </c>
      <c r="D167" s="6" t="s">
        <v>48</v>
      </c>
    </row>
    <row r="168" spans="1:4" ht="15.75" x14ac:dyDescent="0.25">
      <c r="A168" s="7" t="s">
        <v>171</v>
      </c>
      <c r="B168" s="8" t="s">
        <v>69</v>
      </c>
      <c r="C168" s="8" t="s">
        <v>200</v>
      </c>
      <c r="D168" s="9" t="s">
        <v>48</v>
      </c>
    </row>
    <row r="169" spans="1:4" ht="15.75" x14ac:dyDescent="0.25">
      <c r="A169" s="51" t="s">
        <v>78</v>
      </c>
      <c r="B169" s="52" t="s">
        <v>45</v>
      </c>
      <c r="C169" s="53" t="s">
        <v>362</v>
      </c>
      <c r="D169" s="6" t="s">
        <v>47</v>
      </c>
    </row>
    <row r="170" spans="1:4" ht="15.75" x14ac:dyDescent="0.25">
      <c r="A170" s="51" t="s">
        <v>78</v>
      </c>
      <c r="B170" s="52" t="s">
        <v>45</v>
      </c>
      <c r="C170" s="53" t="s">
        <v>373</v>
      </c>
      <c r="D170" s="54" t="s">
        <v>47</v>
      </c>
    </row>
    <row r="171" spans="1:4" ht="15.75" x14ac:dyDescent="0.25">
      <c r="A171" s="51" t="s">
        <v>360</v>
      </c>
      <c r="B171" s="52" t="s">
        <v>45</v>
      </c>
      <c r="C171" s="53" t="s">
        <v>361</v>
      </c>
      <c r="D171" s="54" t="s">
        <v>47</v>
      </c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"/>
  <sheetViews>
    <sheetView workbookViewId="0">
      <selection activeCell="A6" sqref="A6"/>
    </sheetView>
  </sheetViews>
  <sheetFormatPr defaultRowHeight="15" x14ac:dyDescent="0.25"/>
  <cols>
    <col min="2" max="2" width="42.42578125" bestFit="1" customWidth="1"/>
    <col min="3" max="3" width="45.28515625" bestFit="1" customWidth="1"/>
    <col min="4" max="4" width="8.7109375" bestFit="1" customWidth="1"/>
    <col min="5" max="5" width="10" bestFit="1" customWidth="1"/>
    <col min="6" max="6" width="78.85546875" bestFit="1" customWidth="1"/>
    <col min="7" max="7" width="49.85546875" bestFit="1" customWidth="1"/>
    <col min="8" max="8" width="15.28515625" bestFit="1" customWidth="1"/>
    <col min="9" max="9" width="19.14062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F2" s="2"/>
      <c r="G2" s="17"/>
      <c r="H2" s="17"/>
      <c r="I2" s="17"/>
    </row>
    <row r="3" spans="1:9" x14ac:dyDescent="0.25">
      <c r="A3" s="28" t="s">
        <v>9</v>
      </c>
      <c r="B3" s="30" t="s">
        <v>10</v>
      </c>
      <c r="C3" s="18" t="s">
        <v>11</v>
      </c>
      <c r="D3" s="19" t="s">
        <v>12</v>
      </c>
      <c r="E3" s="18">
        <v>192030165</v>
      </c>
      <c r="F3" s="20" t="s">
        <v>13</v>
      </c>
      <c r="G3" s="21" t="s">
        <v>14</v>
      </c>
      <c r="H3" s="21" t="s">
        <v>15</v>
      </c>
      <c r="I3" s="21">
        <v>4168116</v>
      </c>
    </row>
    <row r="4" spans="1:9" x14ac:dyDescent="0.25">
      <c r="A4" s="28" t="s">
        <v>9</v>
      </c>
      <c r="B4" s="30" t="s">
        <v>10</v>
      </c>
      <c r="C4" s="18" t="s">
        <v>11</v>
      </c>
      <c r="D4" s="19" t="s">
        <v>16</v>
      </c>
      <c r="E4" s="18">
        <v>192030265</v>
      </c>
      <c r="F4" s="22"/>
      <c r="G4" s="21"/>
      <c r="H4" s="21"/>
      <c r="I4" s="21"/>
    </row>
    <row r="5" spans="1:9" x14ac:dyDescent="0.25">
      <c r="A5" s="28" t="s">
        <v>9</v>
      </c>
      <c r="B5" s="30" t="s">
        <v>10</v>
      </c>
      <c r="C5" s="18" t="s">
        <v>11</v>
      </c>
      <c r="D5" s="19" t="s">
        <v>17</v>
      </c>
      <c r="E5" s="18">
        <v>192030365</v>
      </c>
      <c r="F5" s="22"/>
      <c r="G5" s="21"/>
      <c r="H5" s="21"/>
      <c r="I5" s="21"/>
    </row>
    <row r="6" spans="1:9" ht="15.75" thickBot="1" x14ac:dyDescent="0.3">
      <c r="A6" s="28" t="s">
        <v>9</v>
      </c>
      <c r="B6" s="30" t="s">
        <v>10</v>
      </c>
      <c r="C6" s="60"/>
      <c r="D6" s="61"/>
      <c r="E6" s="61"/>
      <c r="F6" s="61"/>
      <c r="G6" s="61"/>
      <c r="H6" s="61"/>
      <c r="I6" s="62"/>
    </row>
    <row r="7" spans="1:9" ht="15.75" thickBot="1" x14ac:dyDescent="0.3">
      <c r="A7" s="32" t="s">
        <v>18</v>
      </c>
      <c r="B7" s="33" t="s">
        <v>19</v>
      </c>
      <c r="C7" s="23" t="s">
        <v>20</v>
      </c>
      <c r="D7" s="24" t="s">
        <v>12</v>
      </c>
      <c r="E7" s="23">
        <v>192010479</v>
      </c>
      <c r="F7" s="21" t="s">
        <v>21</v>
      </c>
      <c r="G7" s="21" t="s">
        <v>22</v>
      </c>
      <c r="H7" s="21">
        <v>3963254</v>
      </c>
      <c r="I7" s="21" t="s">
        <v>15</v>
      </c>
    </row>
    <row r="8" spans="1:9" ht="15.75" thickBot="1" x14ac:dyDescent="0.3">
      <c r="A8" s="32" t="s">
        <v>18</v>
      </c>
      <c r="B8" s="33" t="s">
        <v>19</v>
      </c>
      <c r="C8" s="18" t="s">
        <v>20</v>
      </c>
      <c r="D8" s="19" t="s">
        <v>16</v>
      </c>
      <c r="E8" s="18">
        <v>192010579</v>
      </c>
      <c r="F8" s="22"/>
      <c r="G8" s="21"/>
      <c r="H8" s="21"/>
      <c r="I8" s="21"/>
    </row>
    <row r="9" spans="1:9" ht="15.75" thickBot="1" x14ac:dyDescent="0.3">
      <c r="A9" s="32" t="s">
        <v>18</v>
      </c>
      <c r="B9" s="33" t="s">
        <v>19</v>
      </c>
      <c r="C9" s="18" t="s">
        <v>20</v>
      </c>
      <c r="D9" s="19" t="s">
        <v>17</v>
      </c>
      <c r="E9" s="18">
        <v>192010679</v>
      </c>
      <c r="F9" s="22"/>
      <c r="G9" s="21"/>
      <c r="H9" s="21"/>
      <c r="I9" s="21"/>
    </row>
    <row r="10" spans="1:9" ht="15.75" thickBot="1" x14ac:dyDescent="0.3">
      <c r="A10" s="32" t="s">
        <v>18</v>
      </c>
      <c r="B10" s="33" t="s">
        <v>19</v>
      </c>
      <c r="C10" s="55"/>
      <c r="D10" s="56"/>
      <c r="E10" s="56"/>
      <c r="F10" s="56"/>
      <c r="G10" s="56"/>
      <c r="H10" s="56"/>
      <c r="I10" s="57"/>
    </row>
    <row r="11" spans="1:9" ht="15.75" thickBot="1" x14ac:dyDescent="0.3">
      <c r="A11" s="32" t="s">
        <v>18</v>
      </c>
      <c r="B11" s="33" t="s">
        <v>19</v>
      </c>
      <c r="C11" s="18" t="s">
        <v>23</v>
      </c>
      <c r="D11" s="19" t="s">
        <v>12</v>
      </c>
      <c r="E11" s="18">
        <v>192010480</v>
      </c>
      <c r="F11" s="21" t="s">
        <v>21</v>
      </c>
      <c r="G11" s="21" t="s">
        <v>22</v>
      </c>
      <c r="H11" s="21">
        <v>3963326</v>
      </c>
      <c r="I11" s="21" t="s">
        <v>15</v>
      </c>
    </row>
    <row r="12" spans="1:9" ht="15.75" thickBot="1" x14ac:dyDescent="0.3">
      <c r="A12" s="32" t="s">
        <v>18</v>
      </c>
      <c r="B12" s="33" t="s">
        <v>19</v>
      </c>
      <c r="C12" s="18" t="s">
        <v>23</v>
      </c>
      <c r="D12" s="19" t="s">
        <v>16</v>
      </c>
      <c r="E12" s="18">
        <v>192010580</v>
      </c>
      <c r="F12" s="22"/>
      <c r="G12" s="21"/>
      <c r="H12" s="21"/>
      <c r="I12" s="21"/>
    </row>
    <row r="13" spans="1:9" ht="15.75" thickBot="1" x14ac:dyDescent="0.3">
      <c r="A13" s="32" t="s">
        <v>18</v>
      </c>
      <c r="B13" s="33" t="s">
        <v>19</v>
      </c>
      <c r="C13" s="18" t="s">
        <v>23</v>
      </c>
      <c r="D13" s="19" t="s">
        <v>17</v>
      </c>
      <c r="E13" s="18">
        <v>192010680</v>
      </c>
      <c r="F13" s="22"/>
      <c r="G13" s="21"/>
      <c r="H13" s="21"/>
      <c r="I13" s="21"/>
    </row>
    <row r="14" spans="1:9" ht="15.75" thickBot="1" x14ac:dyDescent="0.3">
      <c r="A14" s="32" t="s">
        <v>18</v>
      </c>
      <c r="B14" s="33" t="s">
        <v>19</v>
      </c>
      <c r="C14" s="55"/>
      <c r="D14" s="56"/>
      <c r="E14" s="56"/>
      <c r="F14" s="56"/>
      <c r="G14" s="56"/>
      <c r="H14" s="56"/>
      <c r="I14" s="57"/>
    </row>
    <row r="15" spans="1:9" ht="15.75" thickBot="1" x14ac:dyDescent="0.3">
      <c r="A15" s="32" t="s">
        <v>18</v>
      </c>
      <c r="B15" s="33" t="s">
        <v>19</v>
      </c>
      <c r="C15" s="18" t="s">
        <v>24</v>
      </c>
      <c r="D15" s="19" t="s">
        <v>12</v>
      </c>
      <c r="E15" s="18">
        <v>192010481</v>
      </c>
      <c r="F15" s="21" t="s">
        <v>21</v>
      </c>
      <c r="G15" s="21" t="s">
        <v>22</v>
      </c>
      <c r="H15" s="21">
        <v>3963326</v>
      </c>
      <c r="I15" s="21" t="s">
        <v>15</v>
      </c>
    </row>
    <row r="16" spans="1:9" ht="15.75" thickBot="1" x14ac:dyDescent="0.3">
      <c r="A16" s="32" t="s">
        <v>18</v>
      </c>
      <c r="B16" s="33" t="s">
        <v>19</v>
      </c>
      <c r="C16" s="18" t="s">
        <v>24</v>
      </c>
      <c r="D16" s="19" t="s">
        <v>16</v>
      </c>
      <c r="E16" s="18">
        <v>192010581</v>
      </c>
      <c r="F16" s="22"/>
      <c r="G16" s="21"/>
      <c r="H16" s="21"/>
      <c r="I16" s="21"/>
    </row>
    <row r="17" spans="1:9" ht="15.75" thickBot="1" x14ac:dyDescent="0.3">
      <c r="A17" s="32" t="s">
        <v>18</v>
      </c>
      <c r="B17" s="33" t="s">
        <v>19</v>
      </c>
      <c r="C17" s="18" t="s">
        <v>24</v>
      </c>
      <c r="D17" s="19" t="s">
        <v>17</v>
      </c>
      <c r="E17" s="18">
        <v>192010681</v>
      </c>
      <c r="F17" s="22"/>
      <c r="G17" s="21"/>
      <c r="H17" s="21"/>
      <c r="I17" s="21"/>
    </row>
    <row r="18" spans="1:9" ht="15.75" thickBot="1" x14ac:dyDescent="0.3">
      <c r="A18" s="32" t="s">
        <v>18</v>
      </c>
      <c r="B18" s="33" t="s">
        <v>19</v>
      </c>
      <c r="C18" s="55"/>
      <c r="D18" s="56"/>
      <c r="E18" s="56"/>
      <c r="F18" s="56"/>
      <c r="G18" s="56"/>
      <c r="H18" s="56"/>
      <c r="I18" s="57"/>
    </row>
    <row r="19" spans="1:9" ht="15.75" thickBot="1" x14ac:dyDescent="0.3">
      <c r="A19" s="32" t="s">
        <v>18</v>
      </c>
      <c r="B19" s="33" t="s">
        <v>19</v>
      </c>
      <c r="C19" s="18" t="s">
        <v>25</v>
      </c>
      <c r="D19" s="19" t="s">
        <v>12</v>
      </c>
      <c r="E19" s="18">
        <v>192010482</v>
      </c>
      <c r="F19" s="21" t="s">
        <v>21</v>
      </c>
      <c r="G19" s="21" t="s">
        <v>22</v>
      </c>
      <c r="H19" s="21">
        <v>3963413</v>
      </c>
      <c r="I19" s="21" t="s">
        <v>15</v>
      </c>
    </row>
    <row r="20" spans="1:9" ht="15.75" thickBot="1" x14ac:dyDescent="0.3">
      <c r="A20" s="32" t="s">
        <v>18</v>
      </c>
      <c r="B20" s="33" t="s">
        <v>19</v>
      </c>
      <c r="C20" s="18" t="s">
        <v>25</v>
      </c>
      <c r="D20" s="19" t="s">
        <v>16</v>
      </c>
      <c r="E20" s="18">
        <v>192010582</v>
      </c>
      <c r="F20" s="22"/>
      <c r="G20" s="21"/>
      <c r="H20" s="21"/>
      <c r="I20" s="21"/>
    </row>
    <row r="21" spans="1:9" ht="15.75" thickBot="1" x14ac:dyDescent="0.3">
      <c r="A21" s="32" t="s">
        <v>18</v>
      </c>
      <c r="B21" s="33" t="s">
        <v>19</v>
      </c>
      <c r="C21" s="18" t="s">
        <v>25</v>
      </c>
      <c r="D21" s="19" t="s">
        <v>17</v>
      </c>
      <c r="E21" s="18">
        <v>192010682</v>
      </c>
      <c r="F21" s="22"/>
      <c r="G21" s="21"/>
      <c r="H21" s="21"/>
      <c r="I21" s="21"/>
    </row>
    <row r="22" spans="1:9" ht="15.75" thickBot="1" x14ac:dyDescent="0.3">
      <c r="A22" s="32" t="s">
        <v>18</v>
      </c>
      <c r="B22" s="33" t="s">
        <v>19</v>
      </c>
      <c r="C22" s="55"/>
      <c r="D22" s="56"/>
      <c r="E22" s="56"/>
      <c r="F22" s="56"/>
      <c r="G22" s="56"/>
      <c r="H22" s="56"/>
      <c r="I22" s="57"/>
    </row>
    <row r="23" spans="1:9" ht="15.75" thickBot="1" x14ac:dyDescent="0.3">
      <c r="A23" s="32" t="s">
        <v>18</v>
      </c>
      <c r="B23" s="33" t="s">
        <v>19</v>
      </c>
      <c r="C23" s="25" t="s">
        <v>302</v>
      </c>
      <c r="D23" s="26" t="s">
        <v>12</v>
      </c>
      <c r="E23" s="25">
        <v>192010484</v>
      </c>
      <c r="F23" s="16" t="s">
        <v>303</v>
      </c>
      <c r="G23" s="16" t="s">
        <v>22</v>
      </c>
      <c r="H23" s="16">
        <v>4189033</v>
      </c>
      <c r="I23" s="16" t="s">
        <v>15</v>
      </c>
    </row>
    <row r="24" spans="1:9" ht="15.75" thickBot="1" x14ac:dyDescent="0.3">
      <c r="A24" s="32" t="s">
        <v>18</v>
      </c>
      <c r="B24" s="33" t="s">
        <v>19</v>
      </c>
      <c r="C24" s="25" t="s">
        <v>302</v>
      </c>
      <c r="D24" s="26" t="s">
        <v>16</v>
      </c>
      <c r="E24" s="25">
        <v>192010584</v>
      </c>
      <c r="F24" s="27"/>
      <c r="G24" s="16"/>
      <c r="H24" s="16"/>
      <c r="I24" s="16"/>
    </row>
    <row r="25" spans="1:9" ht="15.75" thickBot="1" x14ac:dyDescent="0.3">
      <c r="A25" s="32" t="s">
        <v>18</v>
      </c>
      <c r="B25" s="33" t="s">
        <v>19</v>
      </c>
      <c r="C25" s="25" t="s">
        <v>302</v>
      </c>
      <c r="D25" s="26" t="s">
        <v>17</v>
      </c>
      <c r="E25" s="25">
        <v>192010684</v>
      </c>
      <c r="F25" s="27"/>
      <c r="G25" s="16"/>
      <c r="H25" s="16"/>
      <c r="I25" s="16"/>
    </row>
    <row r="26" spans="1:9" ht="15.75" thickBot="1" x14ac:dyDescent="0.3">
      <c r="A26" s="32" t="s">
        <v>18</v>
      </c>
      <c r="B26" s="33" t="s">
        <v>19</v>
      </c>
      <c r="C26" s="55"/>
      <c r="D26" s="56"/>
      <c r="E26" s="56"/>
      <c r="F26" s="56"/>
      <c r="G26" s="56"/>
      <c r="H26" s="56"/>
      <c r="I26" s="57"/>
    </row>
    <row r="27" spans="1:9" ht="15.75" thickBot="1" x14ac:dyDescent="0.3">
      <c r="A27" s="32" t="s">
        <v>18</v>
      </c>
      <c r="B27" s="33" t="s">
        <v>19</v>
      </c>
      <c r="C27" s="18" t="s">
        <v>26</v>
      </c>
      <c r="D27" s="19" t="s">
        <v>12</v>
      </c>
      <c r="E27" s="18">
        <v>192010478</v>
      </c>
      <c r="F27" s="21" t="s">
        <v>21</v>
      </c>
      <c r="G27" s="21" t="s">
        <v>22</v>
      </c>
      <c r="H27" s="21">
        <v>3957121</v>
      </c>
      <c r="I27" s="21" t="s">
        <v>15</v>
      </c>
    </row>
    <row r="28" spans="1:9" ht="15.75" thickBot="1" x14ac:dyDescent="0.3">
      <c r="A28" s="32" t="s">
        <v>18</v>
      </c>
      <c r="B28" s="33" t="s">
        <v>19</v>
      </c>
      <c r="C28" s="18" t="s">
        <v>26</v>
      </c>
      <c r="D28" s="19" t="s">
        <v>16</v>
      </c>
      <c r="E28" s="18">
        <v>192010578</v>
      </c>
      <c r="F28" s="22"/>
      <c r="G28" s="21"/>
      <c r="H28" s="21"/>
      <c r="I28" s="21"/>
    </row>
    <row r="29" spans="1:9" ht="15.75" thickBot="1" x14ac:dyDescent="0.3">
      <c r="A29" s="32" t="s">
        <v>18</v>
      </c>
      <c r="B29" s="33" t="s">
        <v>19</v>
      </c>
      <c r="C29" s="18" t="s">
        <v>26</v>
      </c>
      <c r="D29" s="19" t="s">
        <v>17</v>
      </c>
      <c r="E29" s="18">
        <v>192010678</v>
      </c>
      <c r="F29" s="22"/>
      <c r="G29" s="21"/>
      <c r="H29" s="21"/>
      <c r="I29" s="21"/>
    </row>
    <row r="30" spans="1:9" ht="15.75" thickBot="1" x14ac:dyDescent="0.3">
      <c r="A30" s="32" t="s">
        <v>18</v>
      </c>
      <c r="B30" s="33" t="s">
        <v>19</v>
      </c>
      <c r="C30" s="55"/>
      <c r="D30" s="56"/>
      <c r="E30" s="56"/>
      <c r="F30" s="56"/>
      <c r="G30" s="56"/>
      <c r="H30" s="56"/>
      <c r="I30" s="57"/>
    </row>
    <row r="31" spans="1:9" ht="15.75" thickBot="1" x14ac:dyDescent="0.3">
      <c r="A31" s="32" t="s">
        <v>18</v>
      </c>
      <c r="B31" s="33" t="s">
        <v>19</v>
      </c>
      <c r="C31" s="18" t="s">
        <v>27</v>
      </c>
      <c r="D31" s="19" t="s">
        <v>12</v>
      </c>
      <c r="E31" s="18">
        <v>192030172</v>
      </c>
      <c r="F31" s="21" t="s">
        <v>28</v>
      </c>
      <c r="G31" s="21" t="s">
        <v>22</v>
      </c>
      <c r="H31" s="21">
        <v>3963469</v>
      </c>
      <c r="I31" s="21" t="s">
        <v>15</v>
      </c>
    </row>
    <row r="32" spans="1:9" ht="15.75" thickBot="1" x14ac:dyDescent="0.3">
      <c r="A32" s="32" t="s">
        <v>18</v>
      </c>
      <c r="B32" s="33" t="s">
        <v>19</v>
      </c>
      <c r="C32" s="18" t="s">
        <v>27</v>
      </c>
      <c r="D32" s="19" t="s">
        <v>16</v>
      </c>
      <c r="E32" s="18">
        <v>192030272</v>
      </c>
      <c r="F32" s="22"/>
      <c r="G32" s="21"/>
      <c r="H32" s="21"/>
      <c r="I32" s="21"/>
    </row>
    <row r="33" spans="1:9" ht="15.75" thickBot="1" x14ac:dyDescent="0.3">
      <c r="A33" s="32" t="s">
        <v>18</v>
      </c>
      <c r="B33" s="33" t="s">
        <v>19</v>
      </c>
      <c r="C33" s="18" t="s">
        <v>27</v>
      </c>
      <c r="D33" s="19" t="s">
        <v>17</v>
      </c>
      <c r="E33" s="18">
        <v>192030372</v>
      </c>
      <c r="F33" s="22"/>
      <c r="G33" s="21"/>
      <c r="H33" s="21"/>
      <c r="I33" s="21"/>
    </row>
    <row r="34" spans="1:9" ht="15.75" thickBot="1" x14ac:dyDescent="0.3">
      <c r="A34" s="32" t="s">
        <v>18</v>
      </c>
      <c r="B34" s="33" t="s">
        <v>19</v>
      </c>
      <c r="C34" s="55"/>
      <c r="D34" s="56"/>
      <c r="E34" s="56"/>
      <c r="F34" s="56"/>
      <c r="G34" s="56"/>
      <c r="H34" s="56"/>
      <c r="I34" s="57"/>
    </row>
    <row r="35" spans="1:9" ht="15.75" thickBot="1" x14ac:dyDescent="0.3">
      <c r="A35" s="32" t="s">
        <v>18</v>
      </c>
      <c r="B35" s="33" t="s">
        <v>19</v>
      </c>
      <c r="C35" s="18" t="s">
        <v>29</v>
      </c>
      <c r="D35" s="19" t="s">
        <v>12</v>
      </c>
      <c r="E35" s="18">
        <v>192030173</v>
      </c>
      <c r="F35" s="21" t="s">
        <v>28</v>
      </c>
      <c r="G35" s="21" t="s">
        <v>22</v>
      </c>
      <c r="H35" s="21">
        <v>3963508</v>
      </c>
      <c r="I35" s="21" t="s">
        <v>15</v>
      </c>
    </row>
    <row r="36" spans="1:9" ht="15.75" thickBot="1" x14ac:dyDescent="0.3">
      <c r="A36" s="32" t="s">
        <v>18</v>
      </c>
      <c r="B36" s="33" t="s">
        <v>19</v>
      </c>
      <c r="C36" s="18" t="s">
        <v>29</v>
      </c>
      <c r="D36" s="19" t="s">
        <v>16</v>
      </c>
      <c r="E36" s="18">
        <v>192030273</v>
      </c>
      <c r="F36" s="22"/>
      <c r="G36" s="21"/>
      <c r="H36" s="21"/>
      <c r="I36" s="21"/>
    </row>
    <row r="37" spans="1:9" ht="15.75" thickBot="1" x14ac:dyDescent="0.3">
      <c r="A37" s="32" t="s">
        <v>18</v>
      </c>
      <c r="B37" s="33" t="s">
        <v>19</v>
      </c>
      <c r="C37" s="18" t="s">
        <v>29</v>
      </c>
      <c r="D37" s="19" t="s">
        <v>17</v>
      </c>
      <c r="E37" s="18">
        <v>192030373</v>
      </c>
      <c r="F37" s="22"/>
      <c r="G37" s="21"/>
      <c r="H37" s="21"/>
      <c r="I37" s="21"/>
    </row>
    <row r="38" spans="1:9" ht="15.75" thickBot="1" x14ac:dyDescent="0.3">
      <c r="A38" s="32" t="s">
        <v>18</v>
      </c>
      <c r="B38" s="33" t="s">
        <v>19</v>
      </c>
      <c r="C38" s="55"/>
      <c r="D38" s="56"/>
      <c r="E38" s="56"/>
      <c r="F38" s="56"/>
      <c r="G38" s="56"/>
      <c r="H38" s="56"/>
      <c r="I38" s="57"/>
    </row>
    <row r="39" spans="1:9" ht="15.75" thickBot="1" x14ac:dyDescent="0.3">
      <c r="A39" s="32" t="s">
        <v>18</v>
      </c>
      <c r="B39" s="33" t="s">
        <v>19</v>
      </c>
      <c r="C39" s="18" t="s">
        <v>30</v>
      </c>
      <c r="D39" s="19" t="s">
        <v>12</v>
      </c>
      <c r="E39" s="18">
        <v>192030174</v>
      </c>
      <c r="F39" s="21" t="s">
        <v>28</v>
      </c>
      <c r="G39" s="21" t="s">
        <v>22</v>
      </c>
      <c r="H39" s="21">
        <v>3963568</v>
      </c>
      <c r="I39" s="21" t="s">
        <v>15</v>
      </c>
    </row>
    <row r="40" spans="1:9" ht="15.75" thickBot="1" x14ac:dyDescent="0.3">
      <c r="A40" s="32" t="s">
        <v>18</v>
      </c>
      <c r="B40" s="33" t="s">
        <v>19</v>
      </c>
      <c r="C40" s="18" t="s">
        <v>30</v>
      </c>
      <c r="D40" s="19" t="s">
        <v>16</v>
      </c>
      <c r="E40" s="18">
        <v>192030274</v>
      </c>
      <c r="F40" s="22"/>
      <c r="G40" s="21"/>
      <c r="H40" s="21"/>
      <c r="I40" s="21"/>
    </row>
    <row r="41" spans="1:9" ht="15.75" thickBot="1" x14ac:dyDescent="0.3">
      <c r="A41" s="32" t="s">
        <v>18</v>
      </c>
      <c r="B41" s="33" t="s">
        <v>19</v>
      </c>
      <c r="C41" s="18" t="s">
        <v>30</v>
      </c>
      <c r="D41" s="19" t="s">
        <v>17</v>
      </c>
      <c r="E41" s="18">
        <v>192030374</v>
      </c>
      <c r="F41" s="22"/>
      <c r="G41" s="21"/>
      <c r="H41" s="21"/>
      <c r="I41" s="21"/>
    </row>
    <row r="42" spans="1:9" ht="15.75" thickBot="1" x14ac:dyDescent="0.3">
      <c r="A42" s="32" t="s">
        <v>18</v>
      </c>
      <c r="B42" s="33" t="s">
        <v>19</v>
      </c>
      <c r="C42" s="55"/>
      <c r="D42" s="56"/>
      <c r="E42" s="56"/>
      <c r="F42" s="56"/>
      <c r="G42" s="56"/>
      <c r="H42" s="56"/>
      <c r="I42" s="57"/>
    </row>
    <row r="43" spans="1:9" ht="15.75" thickBot="1" x14ac:dyDescent="0.3">
      <c r="A43" s="32" t="s">
        <v>18</v>
      </c>
      <c r="B43" s="33" t="s">
        <v>19</v>
      </c>
      <c r="C43" s="18" t="s">
        <v>31</v>
      </c>
      <c r="D43" s="19" t="s">
        <v>12</v>
      </c>
      <c r="E43" s="18">
        <v>192030175</v>
      </c>
      <c r="F43" s="21" t="s">
        <v>28</v>
      </c>
      <c r="G43" s="21" t="s">
        <v>22</v>
      </c>
      <c r="H43" s="21">
        <v>3963613</v>
      </c>
      <c r="I43" s="21" t="s">
        <v>15</v>
      </c>
    </row>
    <row r="44" spans="1:9" ht="15.75" thickBot="1" x14ac:dyDescent="0.3">
      <c r="A44" s="32" t="s">
        <v>18</v>
      </c>
      <c r="B44" s="33" t="s">
        <v>19</v>
      </c>
      <c r="C44" s="18" t="s">
        <v>31</v>
      </c>
      <c r="D44" s="19" t="s">
        <v>16</v>
      </c>
      <c r="E44" s="18">
        <v>192030275</v>
      </c>
      <c r="F44" s="22"/>
      <c r="G44" s="21"/>
      <c r="H44" s="21"/>
      <c r="I44" s="21"/>
    </row>
    <row r="45" spans="1:9" ht="15.75" thickBot="1" x14ac:dyDescent="0.3">
      <c r="A45" s="32" t="s">
        <v>18</v>
      </c>
      <c r="B45" s="33" t="s">
        <v>19</v>
      </c>
      <c r="C45" s="18" t="s">
        <v>31</v>
      </c>
      <c r="D45" s="19" t="s">
        <v>17</v>
      </c>
      <c r="E45" s="18">
        <v>192030375</v>
      </c>
      <c r="F45" s="22"/>
      <c r="G45" s="21"/>
      <c r="H45" s="21"/>
      <c r="I45" s="21"/>
    </row>
    <row r="46" spans="1:9" ht="15.75" thickBot="1" x14ac:dyDescent="0.3">
      <c r="A46" s="32" t="s">
        <v>18</v>
      </c>
      <c r="B46" s="33" t="s">
        <v>19</v>
      </c>
      <c r="C46" s="55"/>
      <c r="D46" s="56"/>
      <c r="E46" s="56"/>
      <c r="F46" s="56"/>
      <c r="G46" s="56"/>
      <c r="H46" s="56"/>
      <c r="I46" s="57"/>
    </row>
    <row r="47" spans="1:9" ht="15.75" thickBot="1" x14ac:dyDescent="0.3">
      <c r="A47" s="32" t="s">
        <v>18</v>
      </c>
      <c r="B47" s="33" t="s">
        <v>19</v>
      </c>
      <c r="C47" s="18" t="s">
        <v>32</v>
      </c>
      <c r="D47" s="19" t="s">
        <v>12</v>
      </c>
      <c r="E47" s="18">
        <v>192030176</v>
      </c>
      <c r="F47" s="21" t="s">
        <v>28</v>
      </c>
      <c r="G47" s="21" t="s">
        <v>22</v>
      </c>
      <c r="H47" s="21">
        <v>3963671</v>
      </c>
      <c r="I47" s="21" t="s">
        <v>15</v>
      </c>
    </row>
    <row r="48" spans="1:9" ht="15.75" thickBot="1" x14ac:dyDescent="0.3">
      <c r="A48" s="32" t="s">
        <v>18</v>
      </c>
      <c r="B48" s="33" t="s">
        <v>19</v>
      </c>
      <c r="C48" s="18" t="s">
        <v>32</v>
      </c>
      <c r="D48" s="19" t="s">
        <v>16</v>
      </c>
      <c r="E48" s="18">
        <v>192030276</v>
      </c>
      <c r="F48" s="22"/>
      <c r="G48" s="21"/>
      <c r="H48" s="21"/>
      <c r="I48" s="21"/>
    </row>
    <row r="49" spans="1:9" ht="15.75" thickBot="1" x14ac:dyDescent="0.3">
      <c r="A49" s="32" t="s">
        <v>18</v>
      </c>
      <c r="B49" s="33" t="s">
        <v>19</v>
      </c>
      <c r="C49" s="18" t="s">
        <v>32</v>
      </c>
      <c r="D49" s="19" t="s">
        <v>17</v>
      </c>
      <c r="E49" s="18">
        <v>192030376</v>
      </c>
      <c r="F49" s="22"/>
      <c r="G49" s="21"/>
      <c r="H49" s="21"/>
      <c r="I49" s="21"/>
    </row>
    <row r="50" spans="1:9" ht="15.75" thickBot="1" x14ac:dyDescent="0.3">
      <c r="A50" s="32" t="s">
        <v>18</v>
      </c>
      <c r="B50" s="33" t="s">
        <v>19</v>
      </c>
      <c r="C50" s="55"/>
      <c r="D50" s="56"/>
      <c r="E50" s="56"/>
      <c r="F50" s="56"/>
      <c r="G50" s="56"/>
      <c r="H50" s="56"/>
      <c r="I50" s="57"/>
    </row>
    <row r="51" spans="1:9" ht="15.75" thickBot="1" x14ac:dyDescent="0.3">
      <c r="A51" s="32" t="s">
        <v>18</v>
      </c>
      <c r="B51" s="33" t="s">
        <v>19</v>
      </c>
      <c r="C51" s="25" t="s">
        <v>304</v>
      </c>
      <c r="D51" s="26" t="s">
        <v>12</v>
      </c>
      <c r="E51" s="25">
        <v>192030181</v>
      </c>
      <c r="F51" s="16" t="s">
        <v>28</v>
      </c>
      <c r="G51" s="16" t="s">
        <v>22</v>
      </c>
      <c r="H51" s="16">
        <v>4189039</v>
      </c>
      <c r="I51" s="16" t="s">
        <v>15</v>
      </c>
    </row>
    <row r="52" spans="1:9" ht="15.75" thickBot="1" x14ac:dyDescent="0.3">
      <c r="A52" s="32" t="s">
        <v>18</v>
      </c>
      <c r="B52" s="33" t="s">
        <v>19</v>
      </c>
      <c r="C52" s="25" t="s">
        <v>304</v>
      </c>
      <c r="D52" s="26" t="s">
        <v>16</v>
      </c>
      <c r="E52" s="25">
        <v>192030281</v>
      </c>
      <c r="F52" s="27"/>
      <c r="G52" s="16"/>
      <c r="H52" s="16"/>
      <c r="I52" s="16"/>
    </row>
    <row r="53" spans="1:9" ht="15.75" thickBot="1" x14ac:dyDescent="0.3">
      <c r="A53" s="32" t="s">
        <v>18</v>
      </c>
      <c r="B53" s="33" t="s">
        <v>19</v>
      </c>
      <c r="C53" s="25" t="s">
        <v>304</v>
      </c>
      <c r="D53" s="26" t="s">
        <v>17</v>
      </c>
      <c r="E53" s="25">
        <v>192030381</v>
      </c>
      <c r="F53" s="27"/>
      <c r="G53" s="16"/>
      <c r="H53" s="16"/>
      <c r="I53" s="16"/>
    </row>
    <row r="54" spans="1:9" ht="15.75" thickBot="1" x14ac:dyDescent="0.3">
      <c r="A54" s="32" t="s">
        <v>18</v>
      </c>
      <c r="B54" s="33" t="s">
        <v>19</v>
      </c>
      <c r="C54" s="55"/>
      <c r="D54" s="56"/>
      <c r="E54" s="56"/>
      <c r="F54" s="56"/>
      <c r="G54" s="56"/>
      <c r="H54" s="56"/>
      <c r="I54" s="57"/>
    </row>
    <row r="55" spans="1:9" ht="15.75" thickBot="1" x14ac:dyDescent="0.3">
      <c r="A55" s="32" t="s">
        <v>18</v>
      </c>
      <c r="B55" s="33" t="s">
        <v>19</v>
      </c>
      <c r="C55" s="18" t="s">
        <v>33</v>
      </c>
      <c r="D55" s="19" t="s">
        <v>12</v>
      </c>
      <c r="E55" s="18">
        <v>192040182</v>
      </c>
      <c r="F55" s="21" t="s">
        <v>34</v>
      </c>
      <c r="G55" s="21" t="s">
        <v>22</v>
      </c>
      <c r="H55" s="21">
        <v>3963841</v>
      </c>
      <c r="I55" s="21" t="s">
        <v>15</v>
      </c>
    </row>
    <row r="56" spans="1:9" ht="15.75" thickBot="1" x14ac:dyDescent="0.3">
      <c r="A56" s="32" t="s">
        <v>18</v>
      </c>
      <c r="B56" s="33" t="s">
        <v>19</v>
      </c>
      <c r="C56" s="18" t="s">
        <v>33</v>
      </c>
      <c r="D56" s="19" t="s">
        <v>16</v>
      </c>
      <c r="E56" s="18">
        <v>192040282</v>
      </c>
      <c r="F56" s="22"/>
      <c r="G56" s="21"/>
      <c r="H56" s="21"/>
      <c r="I56" s="21"/>
    </row>
    <row r="57" spans="1:9" ht="15.75" thickBot="1" x14ac:dyDescent="0.3">
      <c r="A57" s="32" t="s">
        <v>18</v>
      </c>
      <c r="B57" s="33" t="s">
        <v>19</v>
      </c>
      <c r="C57" s="18" t="s">
        <v>33</v>
      </c>
      <c r="D57" s="19" t="s">
        <v>17</v>
      </c>
      <c r="E57" s="18">
        <v>192040382</v>
      </c>
      <c r="F57" s="22"/>
      <c r="G57" s="21"/>
      <c r="H57" s="21"/>
      <c r="I57" s="21"/>
    </row>
    <row r="58" spans="1:9" ht="15.75" thickBot="1" x14ac:dyDescent="0.3">
      <c r="A58" s="32" t="s">
        <v>18</v>
      </c>
      <c r="B58" s="33" t="s">
        <v>19</v>
      </c>
      <c r="C58" s="55"/>
      <c r="D58" s="56"/>
      <c r="E58" s="56"/>
      <c r="F58" s="56"/>
      <c r="G58" s="56"/>
      <c r="H58" s="56"/>
      <c r="I58" s="57"/>
    </row>
    <row r="59" spans="1:9" ht="15.75" thickBot="1" x14ac:dyDescent="0.3">
      <c r="A59" s="32" t="s">
        <v>18</v>
      </c>
      <c r="B59" s="33" t="s">
        <v>19</v>
      </c>
      <c r="C59" s="18" t="s">
        <v>35</v>
      </c>
      <c r="D59" s="19" t="s">
        <v>12</v>
      </c>
      <c r="E59" s="18">
        <v>192040183</v>
      </c>
      <c r="F59" s="21" t="s">
        <v>34</v>
      </c>
      <c r="G59" s="21" t="s">
        <v>22</v>
      </c>
      <c r="H59" s="21">
        <v>3963905</v>
      </c>
      <c r="I59" s="21" t="s">
        <v>15</v>
      </c>
    </row>
    <row r="60" spans="1:9" ht="15.75" thickBot="1" x14ac:dyDescent="0.3">
      <c r="A60" s="32" t="s">
        <v>18</v>
      </c>
      <c r="B60" s="33" t="s">
        <v>19</v>
      </c>
      <c r="C60" s="18" t="s">
        <v>35</v>
      </c>
      <c r="D60" s="19" t="s">
        <v>16</v>
      </c>
      <c r="E60" s="18">
        <v>192040283</v>
      </c>
      <c r="F60" s="22"/>
      <c r="G60" s="21"/>
      <c r="H60" s="21"/>
      <c r="I60" s="21"/>
    </row>
    <row r="61" spans="1:9" ht="15.75" thickBot="1" x14ac:dyDescent="0.3">
      <c r="A61" s="32" t="s">
        <v>18</v>
      </c>
      <c r="B61" s="33" t="s">
        <v>19</v>
      </c>
      <c r="C61" s="18" t="s">
        <v>35</v>
      </c>
      <c r="D61" s="19" t="s">
        <v>17</v>
      </c>
      <c r="E61" s="18">
        <v>192040383</v>
      </c>
      <c r="F61" s="22"/>
      <c r="G61" s="21"/>
      <c r="H61" s="21"/>
      <c r="I61" s="21"/>
    </row>
    <row r="62" spans="1:9" ht="15.75" thickBot="1" x14ac:dyDescent="0.3">
      <c r="A62" s="32" t="s">
        <v>18</v>
      </c>
      <c r="B62" s="33" t="s">
        <v>19</v>
      </c>
      <c r="C62" s="55"/>
      <c r="D62" s="56"/>
      <c r="E62" s="56"/>
      <c r="F62" s="56"/>
      <c r="G62" s="56"/>
      <c r="H62" s="56"/>
      <c r="I62" s="57"/>
    </row>
    <row r="63" spans="1:9" ht="15.75" thickBot="1" x14ac:dyDescent="0.3">
      <c r="A63" s="32" t="s">
        <v>18</v>
      </c>
      <c r="B63" s="33" t="s">
        <v>19</v>
      </c>
      <c r="C63" s="18" t="s">
        <v>36</v>
      </c>
      <c r="D63" s="19" t="s">
        <v>12</v>
      </c>
      <c r="E63" s="18">
        <v>192040184</v>
      </c>
      <c r="F63" s="21" t="s">
        <v>34</v>
      </c>
      <c r="G63" s="21" t="s">
        <v>22</v>
      </c>
      <c r="H63" s="21">
        <v>3964070</v>
      </c>
      <c r="I63" s="21" t="s">
        <v>15</v>
      </c>
    </row>
    <row r="64" spans="1:9" ht="15.75" thickBot="1" x14ac:dyDescent="0.3">
      <c r="A64" s="32" t="s">
        <v>18</v>
      </c>
      <c r="B64" s="33" t="s">
        <v>19</v>
      </c>
      <c r="C64" s="18" t="s">
        <v>36</v>
      </c>
      <c r="D64" s="19" t="s">
        <v>16</v>
      </c>
      <c r="E64" s="18">
        <v>192040284</v>
      </c>
      <c r="F64" s="22"/>
      <c r="G64" s="21"/>
      <c r="H64" s="21"/>
      <c r="I64" s="21"/>
    </row>
    <row r="65" spans="1:9" ht="15.75" thickBot="1" x14ac:dyDescent="0.3">
      <c r="A65" s="32" t="s">
        <v>18</v>
      </c>
      <c r="B65" s="33" t="s">
        <v>19</v>
      </c>
      <c r="C65" s="18" t="s">
        <v>36</v>
      </c>
      <c r="D65" s="19" t="s">
        <v>17</v>
      </c>
      <c r="E65" s="18">
        <v>192040384</v>
      </c>
      <c r="F65" s="22"/>
      <c r="G65" s="21"/>
      <c r="H65" s="21"/>
      <c r="I65" s="21"/>
    </row>
    <row r="66" spans="1:9" ht="15.75" thickBot="1" x14ac:dyDescent="0.3">
      <c r="A66" s="32" t="s">
        <v>18</v>
      </c>
      <c r="B66" s="33" t="s">
        <v>19</v>
      </c>
      <c r="C66" s="55"/>
      <c r="D66" s="56"/>
      <c r="E66" s="56"/>
      <c r="F66" s="56"/>
      <c r="G66" s="56"/>
      <c r="H66" s="56"/>
      <c r="I66" s="57"/>
    </row>
    <row r="67" spans="1:9" ht="15.75" thickBot="1" x14ac:dyDescent="0.3">
      <c r="A67" s="32" t="s">
        <v>18</v>
      </c>
      <c r="B67" s="33" t="s">
        <v>19</v>
      </c>
      <c r="C67" s="18" t="s">
        <v>37</v>
      </c>
      <c r="D67" s="19" t="s">
        <v>12</v>
      </c>
      <c r="E67" s="18">
        <v>192040185</v>
      </c>
      <c r="F67" s="21" t="s">
        <v>34</v>
      </c>
      <c r="G67" s="21" t="s">
        <v>22</v>
      </c>
      <c r="H67" s="21">
        <v>3964090</v>
      </c>
      <c r="I67" s="21" t="s">
        <v>15</v>
      </c>
    </row>
    <row r="68" spans="1:9" ht="15.75" thickBot="1" x14ac:dyDescent="0.3">
      <c r="A68" s="32" t="s">
        <v>18</v>
      </c>
      <c r="B68" s="33" t="s">
        <v>19</v>
      </c>
      <c r="C68" s="18" t="s">
        <v>37</v>
      </c>
      <c r="D68" s="19" t="s">
        <v>16</v>
      </c>
      <c r="E68" s="18">
        <v>192040285</v>
      </c>
      <c r="F68" s="22"/>
      <c r="G68" s="21"/>
      <c r="H68" s="21"/>
      <c r="I68" s="21"/>
    </row>
    <row r="69" spans="1:9" ht="15.75" thickBot="1" x14ac:dyDescent="0.3">
      <c r="A69" s="32" t="s">
        <v>18</v>
      </c>
      <c r="B69" s="33" t="s">
        <v>19</v>
      </c>
      <c r="C69" s="18" t="s">
        <v>37</v>
      </c>
      <c r="D69" s="19" t="s">
        <v>17</v>
      </c>
      <c r="E69" s="18">
        <v>192040385</v>
      </c>
      <c r="F69" s="22"/>
      <c r="G69" s="21"/>
      <c r="H69" s="21"/>
      <c r="I69" s="21"/>
    </row>
    <row r="70" spans="1:9" ht="15.75" thickBot="1" x14ac:dyDescent="0.3">
      <c r="A70" s="32" t="s">
        <v>18</v>
      </c>
      <c r="B70" s="33" t="s">
        <v>19</v>
      </c>
      <c r="C70" s="55"/>
      <c r="D70" s="56"/>
      <c r="E70" s="56"/>
      <c r="F70" s="56"/>
      <c r="G70" s="56"/>
      <c r="H70" s="56"/>
      <c r="I70" s="57"/>
    </row>
    <row r="71" spans="1:9" ht="15.75" thickBot="1" x14ac:dyDescent="0.3">
      <c r="A71" s="32" t="s">
        <v>18</v>
      </c>
      <c r="B71" s="33" t="s">
        <v>19</v>
      </c>
      <c r="C71" s="18" t="s">
        <v>38</v>
      </c>
      <c r="D71" s="19" t="s">
        <v>12</v>
      </c>
      <c r="E71" s="18">
        <v>192040186</v>
      </c>
      <c r="F71" s="21" t="s">
        <v>34</v>
      </c>
      <c r="G71" s="21" t="s">
        <v>22</v>
      </c>
      <c r="H71" s="21">
        <v>4038230</v>
      </c>
      <c r="I71" s="21" t="s">
        <v>15</v>
      </c>
    </row>
    <row r="72" spans="1:9" ht="15.75" thickBot="1" x14ac:dyDescent="0.3">
      <c r="A72" s="32" t="s">
        <v>18</v>
      </c>
      <c r="B72" s="33" t="s">
        <v>19</v>
      </c>
      <c r="C72" s="18" t="s">
        <v>38</v>
      </c>
      <c r="D72" s="19" t="s">
        <v>16</v>
      </c>
      <c r="E72" s="18">
        <v>192040286</v>
      </c>
      <c r="F72" s="22"/>
      <c r="G72" s="21"/>
      <c r="H72" s="21"/>
      <c r="I72" s="21"/>
    </row>
    <row r="73" spans="1:9" ht="15.75" thickBot="1" x14ac:dyDescent="0.3">
      <c r="A73" s="32" t="s">
        <v>18</v>
      </c>
      <c r="B73" s="33" t="s">
        <v>19</v>
      </c>
      <c r="C73" s="18" t="s">
        <v>38</v>
      </c>
      <c r="D73" s="19" t="s">
        <v>17</v>
      </c>
      <c r="E73" s="18">
        <v>192040386</v>
      </c>
      <c r="F73" s="22"/>
      <c r="G73" s="21"/>
      <c r="H73" s="21"/>
      <c r="I73" s="21"/>
    </row>
    <row r="74" spans="1:9" ht="15.75" thickBot="1" x14ac:dyDescent="0.3">
      <c r="A74" s="32" t="s">
        <v>18</v>
      </c>
      <c r="B74" s="33" t="s">
        <v>19</v>
      </c>
      <c r="C74" s="55"/>
      <c r="D74" s="56"/>
      <c r="E74" s="56"/>
      <c r="F74" s="56"/>
      <c r="G74" s="56"/>
      <c r="H74" s="56"/>
      <c r="I74" s="57"/>
    </row>
    <row r="75" spans="1:9" ht="15.75" thickBot="1" x14ac:dyDescent="0.3">
      <c r="A75" s="32" t="s">
        <v>18</v>
      </c>
      <c r="B75" s="33" t="s">
        <v>19</v>
      </c>
      <c r="C75" s="25" t="s">
        <v>305</v>
      </c>
      <c r="D75" s="26" t="s">
        <v>12</v>
      </c>
      <c r="E75" s="25">
        <v>192040191</v>
      </c>
      <c r="F75" s="16" t="s">
        <v>34</v>
      </c>
      <c r="G75" s="16" t="s">
        <v>22</v>
      </c>
      <c r="H75" s="16">
        <v>4189052</v>
      </c>
      <c r="I75" s="16" t="s">
        <v>15</v>
      </c>
    </row>
    <row r="76" spans="1:9" ht="15.75" thickBot="1" x14ac:dyDescent="0.3">
      <c r="A76" s="32" t="s">
        <v>18</v>
      </c>
      <c r="B76" s="33" t="s">
        <v>19</v>
      </c>
      <c r="C76" s="25" t="s">
        <v>305</v>
      </c>
      <c r="D76" s="26" t="s">
        <v>16</v>
      </c>
      <c r="E76" s="25">
        <v>192040291</v>
      </c>
      <c r="F76" s="27"/>
      <c r="G76" s="16"/>
      <c r="H76" s="16"/>
      <c r="I76" s="16"/>
    </row>
    <row r="77" spans="1:9" ht="15.75" thickBot="1" x14ac:dyDescent="0.3">
      <c r="A77" s="32" t="s">
        <v>18</v>
      </c>
      <c r="B77" s="33" t="s">
        <v>19</v>
      </c>
      <c r="C77" s="25" t="s">
        <v>305</v>
      </c>
      <c r="D77" s="26" t="s">
        <v>17</v>
      </c>
      <c r="E77" s="25">
        <v>192040391</v>
      </c>
      <c r="F77" s="27"/>
      <c r="G77" s="16"/>
      <c r="H77" s="16"/>
      <c r="I77" s="16"/>
    </row>
    <row r="78" spans="1:9" ht="15.75" thickBot="1" x14ac:dyDescent="0.3">
      <c r="A78" s="32" t="s">
        <v>18</v>
      </c>
      <c r="B78" s="33" t="s">
        <v>19</v>
      </c>
      <c r="C78" s="55"/>
      <c r="D78" s="56"/>
      <c r="E78" s="56"/>
      <c r="F78" s="56"/>
      <c r="G78" s="56"/>
      <c r="H78" s="56"/>
      <c r="I78" s="57"/>
    </row>
    <row r="79" spans="1:9" ht="15.75" thickBot="1" x14ac:dyDescent="0.3">
      <c r="A79" s="32" t="s">
        <v>18</v>
      </c>
      <c r="B79" s="33" t="s">
        <v>19</v>
      </c>
      <c r="C79" s="18" t="s">
        <v>39</v>
      </c>
      <c r="D79" s="19" t="s">
        <v>12</v>
      </c>
      <c r="E79" s="18">
        <v>192030178</v>
      </c>
      <c r="F79" s="21" t="s">
        <v>40</v>
      </c>
      <c r="G79" s="21" t="s">
        <v>22</v>
      </c>
      <c r="H79" s="21">
        <v>192030178</v>
      </c>
      <c r="I79" s="21" t="s">
        <v>15</v>
      </c>
    </row>
    <row r="80" spans="1:9" ht="15.75" thickBot="1" x14ac:dyDescent="0.3">
      <c r="A80" s="32" t="s">
        <v>18</v>
      </c>
      <c r="B80" s="33" t="s">
        <v>19</v>
      </c>
      <c r="C80" s="18" t="s">
        <v>39</v>
      </c>
      <c r="D80" s="19" t="s">
        <v>16</v>
      </c>
      <c r="E80" s="18">
        <v>192030278</v>
      </c>
      <c r="F80" s="22"/>
      <c r="G80" s="21"/>
      <c r="H80" s="21"/>
      <c r="I80" s="21"/>
    </row>
    <row r="81" spans="1:9" ht="15.75" thickBot="1" x14ac:dyDescent="0.3">
      <c r="A81" s="32" t="s">
        <v>18</v>
      </c>
      <c r="B81" s="33" t="s">
        <v>19</v>
      </c>
      <c r="C81" s="18" t="s">
        <v>39</v>
      </c>
      <c r="D81" s="19" t="s">
        <v>17</v>
      </c>
      <c r="E81" s="18">
        <v>192030378</v>
      </c>
      <c r="F81" s="22"/>
      <c r="G81" s="21"/>
      <c r="H81" s="21"/>
      <c r="I81" s="21"/>
    </row>
    <row r="82" spans="1:9" x14ac:dyDescent="0.25">
      <c r="A82" s="32" t="s">
        <v>18</v>
      </c>
      <c r="B82" s="33" t="s">
        <v>19</v>
      </c>
      <c r="C82" s="18" t="s">
        <v>306</v>
      </c>
      <c r="D82" s="19" t="s">
        <v>307</v>
      </c>
      <c r="E82" s="18">
        <v>192030379</v>
      </c>
      <c r="F82" s="21" t="s">
        <v>308</v>
      </c>
      <c r="G82" s="21" t="s">
        <v>22</v>
      </c>
      <c r="H82" s="58" t="s">
        <v>309</v>
      </c>
      <c r="I82" s="59"/>
    </row>
    <row r="83" spans="1:9" ht="15.75" thickBot="1" x14ac:dyDescent="0.3">
      <c r="A83" s="29"/>
      <c r="B83" s="31"/>
      <c r="C83" s="55"/>
      <c r="D83" s="56"/>
      <c r="E83" s="56"/>
      <c r="F83" s="56"/>
      <c r="G83" s="56"/>
      <c r="H83" s="56"/>
      <c r="I83" s="57"/>
    </row>
  </sheetData>
  <mergeCells count="21">
    <mergeCell ref="C58:I58"/>
    <mergeCell ref="C6:I6"/>
    <mergeCell ref="C10:I10"/>
    <mergeCell ref="C14:I14"/>
    <mergeCell ref="C18:I18"/>
    <mergeCell ref="C22:I22"/>
    <mergeCell ref="C26:I26"/>
    <mergeCell ref="C30:I30"/>
    <mergeCell ref="C34:I34"/>
    <mergeCell ref="C38:I38"/>
    <mergeCell ref="C42:I42"/>
    <mergeCell ref="C46:I46"/>
    <mergeCell ref="C50:I50"/>
    <mergeCell ref="C54:I54"/>
    <mergeCell ref="C83:I83"/>
    <mergeCell ref="C62:I62"/>
    <mergeCell ref="C66:I66"/>
    <mergeCell ref="C70:I70"/>
    <mergeCell ref="C74:I74"/>
    <mergeCell ref="C78:I78"/>
    <mergeCell ref="H82:I8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D9" sqref="D9"/>
    </sheetView>
  </sheetViews>
  <sheetFormatPr defaultColWidth="8.85546875" defaultRowHeight="15" x14ac:dyDescent="0.25"/>
  <cols>
    <col min="1" max="1" width="18.28515625" style="34" customWidth="1"/>
    <col min="2" max="2" width="44" style="34" bestFit="1" customWidth="1"/>
    <col min="3" max="3" width="33.28515625" style="34" customWidth="1"/>
    <col min="4" max="4" width="32.28515625" customWidth="1"/>
    <col min="5" max="5" width="26.7109375" customWidth="1"/>
    <col min="6" max="6" width="23.85546875" bestFit="1" customWidth="1"/>
    <col min="7" max="7" width="24.85546875" bestFit="1" customWidth="1"/>
    <col min="8" max="8" width="31.5703125" bestFit="1" customWidth="1"/>
    <col min="9" max="9" width="25.7109375" bestFit="1" customWidth="1"/>
    <col min="10" max="10" width="26" bestFit="1" customWidth="1"/>
    <col min="11" max="11" width="24.5703125" customWidth="1"/>
    <col min="12" max="12" width="21.7109375" customWidth="1"/>
    <col min="13" max="13" width="32.7109375" bestFit="1" customWidth="1"/>
    <col min="14" max="14" width="22.28515625" customWidth="1"/>
    <col min="15" max="17" width="18.7109375" customWidth="1"/>
    <col min="18" max="18" width="19" customWidth="1"/>
    <col min="19" max="19" width="66.7109375" bestFit="1" customWidth="1"/>
  </cols>
  <sheetData>
    <row r="1" spans="1:19" ht="15.75" thickBot="1" x14ac:dyDescent="0.3"/>
    <row r="2" spans="1:19" ht="30" x14ac:dyDescent="0.25">
      <c r="A2" s="35" t="s">
        <v>317</v>
      </c>
      <c r="B2" s="35" t="s">
        <v>318</v>
      </c>
      <c r="C2" s="35" t="s">
        <v>319</v>
      </c>
      <c r="D2" s="36" t="s">
        <v>320</v>
      </c>
      <c r="E2" s="37" t="s">
        <v>321</v>
      </c>
      <c r="F2" s="36" t="s">
        <v>322</v>
      </c>
      <c r="G2" s="36" t="s">
        <v>323</v>
      </c>
      <c r="H2" s="36" t="s">
        <v>324</v>
      </c>
      <c r="I2" s="36" t="s">
        <v>325</v>
      </c>
      <c r="J2" s="37" t="s">
        <v>326</v>
      </c>
      <c r="K2" s="37" t="s">
        <v>327</v>
      </c>
      <c r="L2" s="37" t="s">
        <v>328</v>
      </c>
      <c r="M2" s="37" t="s">
        <v>329</v>
      </c>
      <c r="N2" s="36" t="s">
        <v>330</v>
      </c>
      <c r="O2" s="36" t="s">
        <v>331</v>
      </c>
      <c r="P2" s="36" t="s">
        <v>332</v>
      </c>
      <c r="Q2" s="36" t="s">
        <v>333</v>
      </c>
      <c r="R2" s="36" t="s">
        <v>44</v>
      </c>
      <c r="S2" s="36" t="s">
        <v>44</v>
      </c>
    </row>
    <row r="3" spans="1:19" x14ac:dyDescent="0.25">
      <c r="A3" s="38" t="s">
        <v>334</v>
      </c>
      <c r="B3" s="38" t="s">
        <v>335</v>
      </c>
      <c r="C3" s="38" t="s">
        <v>336</v>
      </c>
      <c r="D3" s="39" t="s">
        <v>344</v>
      </c>
      <c r="E3" s="40" t="s">
        <v>337</v>
      </c>
      <c r="F3" s="40" t="s">
        <v>337</v>
      </c>
      <c r="G3" s="40" t="s">
        <v>337</v>
      </c>
      <c r="H3" s="40" t="s">
        <v>337</v>
      </c>
      <c r="I3" s="40" t="s">
        <v>337</v>
      </c>
      <c r="J3" s="40" t="s">
        <v>337</v>
      </c>
      <c r="K3" s="40" t="s">
        <v>337</v>
      </c>
      <c r="L3" s="40" t="s">
        <v>337</v>
      </c>
      <c r="M3" s="40" t="s">
        <v>337</v>
      </c>
      <c r="N3" s="41"/>
      <c r="O3" s="42"/>
      <c r="P3" s="43"/>
      <c r="Q3" s="43"/>
      <c r="R3" s="44"/>
      <c r="S3" s="45"/>
    </row>
    <row r="4" spans="1:19" x14ac:dyDescent="0.25">
      <c r="A4" s="38" t="s">
        <v>338</v>
      </c>
      <c r="B4" s="38" t="s">
        <v>339</v>
      </c>
      <c r="C4" s="38" t="s">
        <v>340</v>
      </c>
      <c r="D4" s="39" t="s">
        <v>344</v>
      </c>
      <c r="E4" s="40" t="s">
        <v>337</v>
      </c>
      <c r="F4" s="40" t="s">
        <v>337</v>
      </c>
      <c r="G4" s="40" t="s">
        <v>337</v>
      </c>
      <c r="H4" s="40" t="s">
        <v>337</v>
      </c>
      <c r="I4" s="40" t="s">
        <v>337</v>
      </c>
      <c r="J4" s="40" t="s">
        <v>337</v>
      </c>
      <c r="K4" s="40" t="s">
        <v>337</v>
      </c>
      <c r="L4" s="40" t="s">
        <v>337</v>
      </c>
      <c r="M4" s="40" t="s">
        <v>337</v>
      </c>
      <c r="N4" s="41"/>
      <c r="O4" s="42"/>
      <c r="P4" s="43"/>
      <c r="Q4" s="43"/>
      <c r="R4" s="44"/>
      <c r="S4" s="45"/>
    </row>
    <row r="5" spans="1:19" x14ac:dyDescent="0.25">
      <c r="A5" s="38" t="s">
        <v>341</v>
      </c>
      <c r="B5" s="38" t="s">
        <v>342</v>
      </c>
      <c r="C5" s="38" t="s">
        <v>340</v>
      </c>
      <c r="D5" s="39" t="s">
        <v>344</v>
      </c>
      <c r="E5" s="40" t="s">
        <v>337</v>
      </c>
      <c r="F5" s="40" t="s">
        <v>343</v>
      </c>
      <c r="G5" s="40" t="s">
        <v>343</v>
      </c>
      <c r="H5" s="40" t="s">
        <v>343</v>
      </c>
      <c r="I5" s="40" t="s">
        <v>337</v>
      </c>
      <c r="J5" s="40" t="s">
        <v>337</v>
      </c>
      <c r="K5" s="40" t="s">
        <v>337</v>
      </c>
      <c r="L5" s="40" t="s">
        <v>337</v>
      </c>
      <c r="M5" s="40" t="s">
        <v>337</v>
      </c>
      <c r="N5" s="41"/>
      <c r="O5" s="42"/>
      <c r="P5" s="42"/>
      <c r="Q5" s="43"/>
      <c r="R5" s="44"/>
      <c r="S5" s="45"/>
    </row>
    <row r="6" spans="1:19" x14ac:dyDescent="0.25">
      <c r="N6" s="46"/>
      <c r="P6" s="13"/>
    </row>
    <row r="7" spans="1:19" x14ac:dyDescent="0.25">
      <c r="N7" s="13"/>
      <c r="O7" s="13"/>
      <c r="P7" s="13"/>
    </row>
    <row r="8" spans="1:19" x14ac:dyDescent="0.25">
      <c r="N8" s="46"/>
      <c r="P8" s="46"/>
    </row>
    <row r="9" spans="1:19" x14ac:dyDescent="0.25">
      <c r="P9" s="46"/>
    </row>
    <row r="10" spans="1:19" x14ac:dyDescent="0.25">
      <c r="P10" s="46"/>
    </row>
    <row r="11" spans="1:19" x14ac:dyDescent="0.25">
      <c r="P11" s="46"/>
    </row>
    <row r="12" spans="1:19" x14ac:dyDescent="0.25">
      <c r="P12" s="46"/>
    </row>
    <row r="13" spans="1:19" x14ac:dyDescent="0.25">
      <c r="A13"/>
      <c r="B13"/>
      <c r="C13"/>
      <c r="N13" s="13"/>
      <c r="P13" s="46"/>
    </row>
    <row r="14" spans="1:19" x14ac:dyDescent="0.25">
      <c r="A14"/>
      <c r="B14"/>
      <c r="C14"/>
      <c r="N14" s="13"/>
      <c r="P14" s="46"/>
    </row>
    <row r="15" spans="1:19" x14ac:dyDescent="0.25">
      <c r="A15"/>
      <c r="B15"/>
      <c r="C15"/>
      <c r="N15" s="13"/>
      <c r="P15" s="47"/>
    </row>
    <row r="16" spans="1:19" x14ac:dyDescent="0.25">
      <c r="A16"/>
      <c r="B16"/>
      <c r="C16"/>
      <c r="N16" s="13"/>
      <c r="P16" s="47"/>
    </row>
  </sheetData>
  <conditionalFormatting sqref="K3:K5 M3:M5">
    <cfRule type="containsText" dxfId="15" priority="15" operator="containsText" text="Pendente">
      <formula>NOT(ISERROR(SEARCH("Pendente",K3)))</formula>
    </cfRule>
    <cfRule type="containsText" dxfId="14" priority="16" operator="containsText" text="OK">
      <formula>NOT(ISERROR(SEARCH("OK",K3)))</formula>
    </cfRule>
  </conditionalFormatting>
  <conditionalFormatting sqref="G3:G5">
    <cfRule type="containsText" dxfId="13" priority="13" operator="containsText" text="Pendente">
      <formula>NOT(ISERROR(SEARCH("Pendente",G3)))</formula>
    </cfRule>
    <cfRule type="containsText" dxfId="12" priority="14" operator="containsText" text="OK">
      <formula>NOT(ISERROR(SEARCH("OK",G3)))</formula>
    </cfRule>
  </conditionalFormatting>
  <conditionalFormatting sqref="J3:J5">
    <cfRule type="containsText" dxfId="11" priority="11" operator="containsText" text="Pendente">
      <formula>NOT(ISERROR(SEARCH("Pendente",J3)))</formula>
    </cfRule>
    <cfRule type="containsText" dxfId="10" priority="12" operator="containsText" text="OK">
      <formula>NOT(ISERROR(SEARCH("OK",J3)))</formula>
    </cfRule>
  </conditionalFormatting>
  <conditionalFormatting sqref="E3:E5">
    <cfRule type="containsText" dxfId="9" priority="9" operator="containsText" text="Pendente">
      <formula>NOT(ISERROR(SEARCH("Pendente",E3)))</formula>
    </cfRule>
    <cfRule type="containsText" dxfId="8" priority="10" operator="containsText" text="OK">
      <formula>NOT(ISERROR(SEARCH("OK",E3)))</formula>
    </cfRule>
  </conditionalFormatting>
  <conditionalFormatting sqref="H3:I5">
    <cfRule type="containsText" dxfId="7" priority="7" operator="containsText" text="Pendente">
      <formula>NOT(ISERROR(SEARCH("Pendente",H3)))</formula>
    </cfRule>
    <cfRule type="containsText" dxfId="6" priority="8" operator="containsText" text="OK">
      <formula>NOT(ISERROR(SEARCH("OK",H3)))</formula>
    </cfRule>
  </conditionalFormatting>
  <conditionalFormatting sqref="L3:L5">
    <cfRule type="containsText" dxfId="5" priority="5" operator="containsText" text="Pendente">
      <formula>NOT(ISERROR(SEARCH("Pendente",L3)))</formula>
    </cfRule>
    <cfRule type="containsText" dxfId="4" priority="6" operator="containsText" text="OK">
      <formula>NOT(ISERROR(SEARCH("OK",L3)))</formula>
    </cfRule>
  </conditionalFormatting>
  <conditionalFormatting sqref="F3:M5">
    <cfRule type="containsText" dxfId="3" priority="3" operator="containsText" text="Pendente">
      <formula>NOT(ISERROR(SEARCH("Pendente",F3)))</formula>
    </cfRule>
    <cfRule type="containsText" dxfId="2" priority="4" operator="containsText" text="OK">
      <formula>NOT(ISERROR(SEARCH("OK",F3)))</formula>
    </cfRule>
  </conditionalFormatting>
  <conditionalFormatting sqref="H5">
    <cfRule type="containsText" dxfId="1" priority="1" operator="containsText" text="Pendente">
      <formula>NOT(ISERROR(SEARCH("Pendente",H5)))</formula>
    </cfRule>
    <cfRule type="containsText" dxfId="0" priority="2" operator="containsText" text="OK">
      <formula>NOT(ISERROR(SEARCH("OK",H5)))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cb6647-07c0-417e-8c03-efbddfa9287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41FE46DDDD454FB7D4753158F97A16" ma:contentTypeVersion="9" ma:contentTypeDescription="Crie um novo documento." ma:contentTypeScope="" ma:versionID="67295881b5644ec157299b536db82acc">
  <xsd:schema xmlns:xsd="http://www.w3.org/2001/XMLSchema" xmlns:xs="http://www.w3.org/2001/XMLSchema" xmlns:p="http://schemas.microsoft.com/office/2006/metadata/properties" xmlns:ns3="accb6647-07c0-417e-8c03-efbddfa9287d" targetNamespace="http://schemas.microsoft.com/office/2006/metadata/properties" ma:root="true" ma:fieldsID="6a28ad5da6f5f1a9280bf954b018c1bc" ns3:_="">
    <xsd:import namespace="accb6647-07c0-417e-8c03-efbddfa9287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cb6647-07c0-417e-8c03-efbddfa9287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D26C2-CD88-40FD-8B8B-8D1F7D2DD3DE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accb6647-07c0-417e-8c03-efbddfa9287d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2EF55AD-9722-4479-A597-A8B8D1CB0D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cb6647-07c0-417e-8c03-efbddfa928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6CC322-4469-45DF-8032-FECC946A7D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Planejamento Físico Bacias</vt:lpstr>
      <vt:lpstr>Bairros</vt:lpstr>
      <vt:lpstr>Planejamento Financeiro</vt:lpstr>
      <vt:lpstr>Serviços e Valores por Bacia</vt:lpstr>
      <vt:lpstr>Serviços por Ano</vt:lpstr>
      <vt:lpstr>Serviços e Investimentos Totais</vt:lpstr>
      <vt:lpstr>Logradouros</vt:lpstr>
      <vt:lpstr>CCs</vt:lpstr>
      <vt:lpstr>OUTUBRO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2026-01-19T11:24:22Z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0x0101008241FE46DDDD454FB7D4753158F97A16</vt:lpwstr>
  </property>
</Properties>
</file>